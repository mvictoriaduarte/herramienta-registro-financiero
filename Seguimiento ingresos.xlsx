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quantumamerica0-my.sharepoint.com/personal/mvduarte_quantumamerica_com/Documents/Documentos/GitHub/herramienta-registro-financiero/"/>
    </mc:Choice>
  </mc:AlternateContent>
  <xr:revisionPtr revIDLastSave="1" documentId="13_ncr:1_{38BDD8F4-4191-4BF4-AFF4-C62DD26FABFE}" xr6:coauthVersionLast="47" xr6:coauthVersionMax="47" xr10:uidLastSave="{E68B1FDD-65FE-4F61-AEAD-FDE3C7D4DE7F}"/>
  <bookViews>
    <workbookView xWindow="20370" yWindow="-5895" windowWidth="29040" windowHeight="15720" firstSheet="10" activeTab="18" xr2:uid="{00000000-000D-0000-FFFF-FFFF00000000}"/>
  </bookViews>
  <sheets>
    <sheet name="Datos - Gastos" sheetId="24" r:id="rId1"/>
    <sheet name="Gastos julio" sheetId="21" r:id="rId2"/>
    <sheet name="Gastos agosto" sheetId="25" r:id="rId3"/>
    <sheet name="Gastos septiembre" sheetId="28" r:id="rId4"/>
    <sheet name="Gastos octubre" sheetId="29" r:id="rId5"/>
    <sheet name="Gastos noviembre" sheetId="30" r:id="rId6"/>
    <sheet name="Gastos diciembre" sheetId="31" r:id="rId7"/>
    <sheet name="Gastos 2026" sheetId="23" r:id="rId8"/>
    <sheet name="Dashboard financiero" sheetId="32" r:id="rId9"/>
    <sheet name="Análisis semanal julio" sheetId="26" r:id="rId10"/>
    <sheet name="Análisis semanal agosto" sheetId="27" r:id="rId11"/>
    <sheet name="Datos - Axis" sheetId="2" r:id="rId12"/>
    <sheet name="Marzo" sheetId="18" r:id="rId13"/>
    <sheet name="Abril" sheetId="19" r:id="rId14"/>
    <sheet name="Mayo" sheetId="20" r:id="rId15"/>
    <sheet name="Junio" sheetId="8" r:id="rId16"/>
    <sheet name="Julio" sheetId="7" r:id="rId17"/>
    <sheet name="Agosto" sheetId="9" r:id="rId18"/>
    <sheet name="Septiembre" sheetId="10" r:id="rId19"/>
    <sheet name="Octubre" sheetId="11" r:id="rId20"/>
    <sheet name="Noviembre" sheetId="12" r:id="rId21"/>
    <sheet name="Diciembre" sheetId="13" r:id="rId22"/>
    <sheet name="Ingresos - Q" sheetId="16" r:id="rId23"/>
    <sheet name="Ingresos totales" sheetId="17" r:id="rId24"/>
  </sheets>
  <definedNames>
    <definedName name="_xlchart.v1.0" hidden="1">'Dashboard financiero'!$B$102:$B$111</definedName>
    <definedName name="_xlchart.v1.1" hidden="1">'Dashboard financiero'!$C$102:$C$111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7" i="28" l="1"/>
  <c r="D74" i="28"/>
  <c r="D58" i="28"/>
  <c r="B38" i="10" a="1"/>
  <c r="B38" i="10" s="1"/>
  <c r="B37" i="10" a="1"/>
  <c r="B37" i="10" s="1"/>
  <c r="B36" i="10" a="1"/>
  <c r="B36" i="10" s="1"/>
  <c r="C22" i="2"/>
  <c r="F22" i="2"/>
  <c r="E22" i="2"/>
  <c r="F11" i="2"/>
  <c r="F10" i="2"/>
  <c r="F7" i="2"/>
  <c r="F6" i="2"/>
  <c r="F4" i="2"/>
  <c r="F3" i="2"/>
  <c r="O8" i="25"/>
  <c r="O9" i="25"/>
  <c r="B110" i="32"/>
  <c r="B109" i="32"/>
  <c r="B108" i="32"/>
  <c r="B107" i="32"/>
  <c r="B106" i="32"/>
  <c r="B105" i="32"/>
  <c r="B104" i="32"/>
  <c r="B103" i="32"/>
  <c r="H98" i="32"/>
  <c r="G98" i="32"/>
  <c r="F98" i="32"/>
  <c r="E98" i="32"/>
  <c r="D98" i="32"/>
  <c r="C98" i="32"/>
  <c r="B70" i="32"/>
  <c r="B69" i="32"/>
  <c r="B68" i="32"/>
  <c r="B67" i="32"/>
  <c r="B66" i="32"/>
  <c r="G65" i="32"/>
  <c r="F65" i="32"/>
  <c r="E65" i="32"/>
  <c r="D65" i="32"/>
  <c r="C65" i="32"/>
  <c r="H58" i="32"/>
  <c r="G58" i="32"/>
  <c r="F58" i="32"/>
  <c r="E58" i="32"/>
  <c r="D58" i="32"/>
  <c r="C58" i="32"/>
  <c r="H54" i="32"/>
  <c r="G54" i="32"/>
  <c r="F54" i="32"/>
  <c r="E54" i="32"/>
  <c r="D54" i="32"/>
  <c r="C54" i="32"/>
  <c r="I49" i="32"/>
  <c r="B48" i="32"/>
  <c r="B46" i="32"/>
  <c r="B45" i="32"/>
  <c r="K44" i="32"/>
  <c r="B44" i="32"/>
  <c r="K41" i="32"/>
  <c r="B31" i="23"/>
  <c r="E31" i="23" s="1"/>
  <c r="B30" i="23"/>
  <c r="D30" i="23" s="1"/>
  <c r="B29" i="23"/>
  <c r="H29" i="23" s="1"/>
  <c r="H28" i="23"/>
  <c r="G28" i="23"/>
  <c r="F28" i="23"/>
  <c r="B28" i="23"/>
  <c r="E28" i="23" s="1"/>
  <c r="B27" i="23"/>
  <c r="E27" i="23" s="1"/>
  <c r="B26" i="23"/>
  <c r="H26" i="23" s="1"/>
  <c r="B25" i="23"/>
  <c r="E25" i="23" s="1"/>
  <c r="B24" i="23"/>
  <c r="C24" i="23" s="1"/>
  <c r="B23" i="23"/>
  <c r="H23" i="23" s="1"/>
  <c r="H22" i="23"/>
  <c r="G22" i="23"/>
  <c r="F22" i="23"/>
  <c r="B22" i="23"/>
  <c r="E22" i="23" s="1"/>
  <c r="B21" i="23"/>
  <c r="F21" i="23" s="1"/>
  <c r="B20" i="23"/>
  <c r="H20" i="23" s="1"/>
  <c r="B19" i="23"/>
  <c r="E19" i="23" s="1"/>
  <c r="B18" i="23"/>
  <c r="E18" i="23" s="1"/>
  <c r="B17" i="23"/>
  <c r="H17" i="23" s="1"/>
  <c r="H16" i="23"/>
  <c r="G16" i="23"/>
  <c r="F16" i="23"/>
  <c r="B16" i="23"/>
  <c r="E16" i="23" s="1"/>
  <c r="B15" i="23"/>
  <c r="C15" i="23" s="1"/>
  <c r="B14" i="23"/>
  <c r="H14" i="23" s="1"/>
  <c r="B13" i="23"/>
  <c r="E13" i="23" s="1"/>
  <c r="B12" i="23"/>
  <c r="E12" i="23" s="1"/>
  <c r="B11" i="23"/>
  <c r="H11" i="23" s="1"/>
  <c r="H10" i="23"/>
  <c r="G10" i="23"/>
  <c r="F10" i="23"/>
  <c r="B10" i="23"/>
  <c r="E10" i="23" s="1"/>
  <c r="B9" i="23"/>
  <c r="E9" i="23" s="1"/>
  <c r="B8" i="23"/>
  <c r="H8" i="23" s="1"/>
  <c r="B7" i="23"/>
  <c r="E7" i="23" s="1"/>
  <c r="B6" i="23"/>
  <c r="C6" i="23" s="1"/>
  <c r="G5" i="23"/>
  <c r="C5" i="23"/>
  <c r="B5" i="23"/>
  <c r="B23" i="32" s="1"/>
  <c r="C4" i="31"/>
  <c r="B8" i="31" s="1"/>
  <c r="B7" i="31"/>
  <c r="K17" i="31"/>
  <c r="L17" i="31"/>
  <c r="K18" i="31"/>
  <c r="L18" i="31"/>
  <c r="K19" i="31"/>
  <c r="L19" i="31"/>
  <c r="K20" i="31"/>
  <c r="L20" i="31"/>
  <c r="K21" i="31"/>
  <c r="L21" i="31"/>
  <c r="K22" i="31"/>
  <c r="L22" i="31"/>
  <c r="K23" i="31"/>
  <c r="L23" i="31"/>
  <c r="K24" i="31"/>
  <c r="L24" i="31"/>
  <c r="K25" i="31"/>
  <c r="L25" i="31"/>
  <c r="K26" i="31"/>
  <c r="L26" i="31"/>
  <c r="K27" i="31"/>
  <c r="M27" i="31" s="1"/>
  <c r="L27" i="31"/>
  <c r="K28" i="31"/>
  <c r="L28" i="31"/>
  <c r="K29" i="31"/>
  <c r="L29" i="31"/>
  <c r="K30" i="31"/>
  <c r="L30" i="31"/>
  <c r="K31" i="31"/>
  <c r="L31" i="31"/>
  <c r="K32" i="31"/>
  <c r="L32" i="31"/>
  <c r="K33" i="31"/>
  <c r="L33" i="31"/>
  <c r="K39" i="31"/>
  <c r="K40" i="31" s="1"/>
  <c r="L39" i="31"/>
  <c r="L40" i="31" s="1"/>
  <c r="M39" i="31"/>
  <c r="M40" i="31" s="1"/>
  <c r="N39" i="31"/>
  <c r="N40" i="31" s="1"/>
  <c r="K43" i="31"/>
  <c r="L43" i="31"/>
  <c r="M43" i="31"/>
  <c r="N43" i="31"/>
  <c r="K46" i="31"/>
  <c r="K47" i="31" s="1"/>
  <c r="L46" i="31"/>
  <c r="L47" i="31" s="1"/>
  <c r="M46" i="31"/>
  <c r="M47" i="31" s="1"/>
  <c r="N46" i="31"/>
  <c r="N47" i="31" s="1"/>
  <c r="C4" i="30"/>
  <c r="B8" i="30" s="1"/>
  <c r="B7" i="30"/>
  <c r="K17" i="30"/>
  <c r="L17" i="30"/>
  <c r="K18" i="30"/>
  <c r="L18" i="30"/>
  <c r="K19" i="30"/>
  <c r="L19" i="30"/>
  <c r="K20" i="30"/>
  <c r="L20" i="30"/>
  <c r="K21" i="30"/>
  <c r="L21" i="30"/>
  <c r="K22" i="30"/>
  <c r="L22" i="30"/>
  <c r="K23" i="30"/>
  <c r="L23" i="30"/>
  <c r="K24" i="30"/>
  <c r="L24" i="30"/>
  <c r="K25" i="30"/>
  <c r="L25" i="30"/>
  <c r="K26" i="30"/>
  <c r="L26" i="30"/>
  <c r="K27" i="30"/>
  <c r="L27" i="30"/>
  <c r="N27" i="30" s="1"/>
  <c r="K28" i="30"/>
  <c r="L28" i="30"/>
  <c r="K29" i="30"/>
  <c r="L29" i="30"/>
  <c r="K30" i="30"/>
  <c r="L30" i="30"/>
  <c r="K31" i="30"/>
  <c r="L31" i="30"/>
  <c r="K32" i="30"/>
  <c r="L32" i="30"/>
  <c r="K33" i="30"/>
  <c r="L33" i="30"/>
  <c r="N33" i="30" s="1"/>
  <c r="K39" i="30"/>
  <c r="K40" i="30" s="1"/>
  <c r="L39" i="30"/>
  <c r="L40" i="30" s="1"/>
  <c r="M39" i="30"/>
  <c r="M40" i="30" s="1"/>
  <c r="N39" i="30"/>
  <c r="N40" i="30" s="1"/>
  <c r="K43" i="30"/>
  <c r="L43" i="30"/>
  <c r="M43" i="30"/>
  <c r="N43" i="30"/>
  <c r="K46" i="30"/>
  <c r="K47" i="30" s="1"/>
  <c r="L46" i="30"/>
  <c r="L47" i="30" s="1"/>
  <c r="M46" i="30"/>
  <c r="M47" i="30" s="1"/>
  <c r="N46" i="30"/>
  <c r="N47" i="30" s="1"/>
  <c r="K3" i="29"/>
  <c r="L3" i="29" s="1"/>
  <c r="P3" i="29" s="1"/>
  <c r="T3" i="29" s="1"/>
  <c r="O3" i="29"/>
  <c r="S3" i="29" s="1"/>
  <c r="C4" i="29"/>
  <c r="B7" i="29"/>
  <c r="B8" i="29"/>
  <c r="K17" i="29"/>
  <c r="L17" i="29"/>
  <c r="K18" i="29"/>
  <c r="L18" i="29"/>
  <c r="K19" i="29"/>
  <c r="L19" i="29"/>
  <c r="K20" i="29"/>
  <c r="L20" i="29"/>
  <c r="K21" i="29"/>
  <c r="L21" i="29"/>
  <c r="K22" i="29"/>
  <c r="L22" i="29"/>
  <c r="K23" i="29"/>
  <c r="L23" i="29"/>
  <c r="K24" i="29"/>
  <c r="L24" i="29"/>
  <c r="K25" i="29"/>
  <c r="L25" i="29"/>
  <c r="K26" i="29"/>
  <c r="L26" i="29"/>
  <c r="K27" i="29"/>
  <c r="L27" i="29"/>
  <c r="K28" i="29"/>
  <c r="L28" i="29"/>
  <c r="K29" i="29"/>
  <c r="L29" i="29"/>
  <c r="K30" i="29"/>
  <c r="L30" i="29"/>
  <c r="K31" i="29"/>
  <c r="L31" i="29"/>
  <c r="K32" i="29"/>
  <c r="L32" i="29"/>
  <c r="K33" i="29"/>
  <c r="L33" i="29"/>
  <c r="K39" i="29"/>
  <c r="K40" i="29" s="1"/>
  <c r="L39" i="29"/>
  <c r="L40" i="29" s="1"/>
  <c r="M39" i="29"/>
  <c r="M40" i="29" s="1"/>
  <c r="N39" i="29"/>
  <c r="N40" i="29" s="1"/>
  <c r="K43" i="29"/>
  <c r="L43" i="29"/>
  <c r="M43" i="29"/>
  <c r="N43" i="29"/>
  <c r="K46" i="29"/>
  <c r="K47" i="29" s="1"/>
  <c r="L46" i="29"/>
  <c r="L47" i="29" s="1"/>
  <c r="M46" i="29"/>
  <c r="M47" i="29" s="1"/>
  <c r="N46" i="29"/>
  <c r="N47" i="29" s="1"/>
  <c r="N43" i="28"/>
  <c r="M43" i="28"/>
  <c r="L43" i="28"/>
  <c r="K43" i="28"/>
  <c r="O3" i="25"/>
  <c r="K7" i="28"/>
  <c r="O7" i="28" s="1"/>
  <c r="K7" i="29" s="1"/>
  <c r="K3" i="28"/>
  <c r="L3" i="28" s="1"/>
  <c r="P3" i="28" s="1"/>
  <c r="L33" i="28"/>
  <c r="K33" i="28"/>
  <c r="L32" i="28"/>
  <c r="K32" i="28"/>
  <c r="L31" i="28"/>
  <c r="K31" i="28"/>
  <c r="L30" i="28"/>
  <c r="K30" i="28"/>
  <c r="L29" i="28"/>
  <c r="K29" i="28"/>
  <c r="L28" i="28"/>
  <c r="K28" i="28"/>
  <c r="L27" i="28"/>
  <c r="K27" i="28"/>
  <c r="L26" i="28"/>
  <c r="K26" i="28"/>
  <c r="L25" i="28"/>
  <c r="K25" i="28"/>
  <c r="L24" i="28"/>
  <c r="K24" i="28"/>
  <c r="L23" i="28"/>
  <c r="K23" i="28"/>
  <c r="L22" i="28"/>
  <c r="K22" i="28"/>
  <c r="L21" i="28"/>
  <c r="K21" i="28"/>
  <c r="L20" i="28"/>
  <c r="K20" i="28"/>
  <c r="L19" i="28"/>
  <c r="K19" i="28"/>
  <c r="L18" i="28"/>
  <c r="K18" i="28"/>
  <c r="L17" i="28"/>
  <c r="K17" i="28"/>
  <c r="B7" i="28"/>
  <c r="C4" i="28"/>
  <c r="B8" i="28" s="1"/>
  <c r="E57" i="26"/>
  <c r="K3" i="30" l="1"/>
  <c r="O7" i="29"/>
  <c r="L7" i="29"/>
  <c r="H5" i="23"/>
  <c r="F7" i="23"/>
  <c r="F13" i="23"/>
  <c r="F19" i="23"/>
  <c r="F25" i="23"/>
  <c r="F31" i="23"/>
  <c r="B27" i="32"/>
  <c r="B39" i="32"/>
  <c r="B49" i="32"/>
  <c r="G7" i="23"/>
  <c r="G13" i="23"/>
  <c r="G19" i="23"/>
  <c r="G25" i="23"/>
  <c r="G31" i="23"/>
  <c r="B28" i="32"/>
  <c r="B40" i="32"/>
  <c r="B26" i="32"/>
  <c r="B38" i="32"/>
  <c r="H7" i="23"/>
  <c r="H13" i="23"/>
  <c r="H19" i="23"/>
  <c r="H25" i="23"/>
  <c r="H31" i="23"/>
  <c r="B29" i="32"/>
  <c r="B41" i="32"/>
  <c r="B30" i="32"/>
  <c r="B31" i="32"/>
  <c r="B42" i="32"/>
  <c r="D5" i="23"/>
  <c r="B32" i="32"/>
  <c r="B43" i="32"/>
  <c r="E5" i="23"/>
  <c r="B33" i="32"/>
  <c r="F5" i="23"/>
  <c r="B34" i="32"/>
  <c r="B35" i="32"/>
  <c r="B24" i="32"/>
  <c r="B36" i="32"/>
  <c r="B25" i="32"/>
  <c r="B37" i="32"/>
  <c r="B47" i="32"/>
  <c r="K40" i="32"/>
  <c r="K43" i="32"/>
  <c r="K46" i="32"/>
  <c r="I42" i="32"/>
  <c r="I45" i="32"/>
  <c r="I40" i="32"/>
  <c r="K42" i="32"/>
  <c r="K45" i="32"/>
  <c r="I41" i="32"/>
  <c r="I44" i="32"/>
  <c r="C30" i="23"/>
  <c r="C9" i="23"/>
  <c r="C21" i="23"/>
  <c r="D9" i="23"/>
  <c r="D12" i="23"/>
  <c r="D21" i="23"/>
  <c r="E6" i="23"/>
  <c r="E21" i="23"/>
  <c r="E24" i="23"/>
  <c r="E30" i="23"/>
  <c r="F6" i="23"/>
  <c r="F9" i="23"/>
  <c r="F12" i="23"/>
  <c r="C27" i="23"/>
  <c r="D15" i="23"/>
  <c r="D24" i="23"/>
  <c r="F24" i="23"/>
  <c r="F30" i="23"/>
  <c r="G6" i="23"/>
  <c r="G32" i="23" s="1"/>
  <c r="C8" i="23"/>
  <c r="G9" i="23"/>
  <c r="C11" i="23"/>
  <c r="G12" i="23"/>
  <c r="C14" i="23"/>
  <c r="G15" i="23"/>
  <c r="C17" i="23"/>
  <c r="G18" i="23"/>
  <c r="C20" i="23"/>
  <c r="G21" i="23"/>
  <c r="C23" i="23"/>
  <c r="G24" i="23"/>
  <c r="C26" i="23"/>
  <c r="G27" i="23"/>
  <c r="C29" i="23"/>
  <c r="G30" i="23"/>
  <c r="H6" i="23"/>
  <c r="D8" i="23"/>
  <c r="H9" i="23"/>
  <c r="D11" i="23"/>
  <c r="H12" i="23"/>
  <c r="D14" i="23"/>
  <c r="H15" i="23"/>
  <c r="D17" i="23"/>
  <c r="H18" i="23"/>
  <c r="D20" i="23"/>
  <c r="H21" i="23"/>
  <c r="D23" i="23"/>
  <c r="H24" i="23"/>
  <c r="H55" i="32" s="1"/>
  <c r="D26" i="23"/>
  <c r="H27" i="23"/>
  <c r="D29" i="23"/>
  <c r="H30" i="23"/>
  <c r="C12" i="23"/>
  <c r="D6" i="23"/>
  <c r="F15" i="23"/>
  <c r="F18" i="23"/>
  <c r="F27" i="23"/>
  <c r="E8" i="23"/>
  <c r="E11" i="23"/>
  <c r="E14" i="23"/>
  <c r="E17" i="23"/>
  <c r="E20" i="23"/>
  <c r="E23" i="23"/>
  <c r="E26" i="23"/>
  <c r="E29" i="23"/>
  <c r="F14" i="23"/>
  <c r="F17" i="23"/>
  <c r="F20" i="23"/>
  <c r="F23" i="23"/>
  <c r="F55" i="32" s="1"/>
  <c r="F26" i="23"/>
  <c r="F29" i="23"/>
  <c r="C18" i="23"/>
  <c r="E15" i="23"/>
  <c r="F11" i="23"/>
  <c r="C7" i="23"/>
  <c r="G8" i="23"/>
  <c r="C10" i="23"/>
  <c r="G11" i="23"/>
  <c r="C13" i="23"/>
  <c r="G14" i="23"/>
  <c r="C16" i="23"/>
  <c r="G17" i="23"/>
  <c r="C19" i="23"/>
  <c r="G20" i="23"/>
  <c r="C22" i="23"/>
  <c r="C55" i="32" s="1"/>
  <c r="G23" i="23"/>
  <c r="G55" i="32" s="1"/>
  <c r="C25" i="23"/>
  <c r="G26" i="23"/>
  <c r="C28" i="23"/>
  <c r="G29" i="23"/>
  <c r="C31" i="23"/>
  <c r="D27" i="23"/>
  <c r="F8" i="23"/>
  <c r="D7" i="23"/>
  <c r="D10" i="23"/>
  <c r="D13" i="23"/>
  <c r="D16" i="23"/>
  <c r="D19" i="23"/>
  <c r="D22" i="23"/>
  <c r="D55" i="32" s="1"/>
  <c r="D25" i="23"/>
  <c r="D28" i="23"/>
  <c r="D31" i="23"/>
  <c r="D18" i="23"/>
  <c r="N27" i="31"/>
  <c r="M33" i="31"/>
  <c r="N21" i="31"/>
  <c r="M21" i="31"/>
  <c r="N31" i="31"/>
  <c r="N25" i="31"/>
  <c r="N19" i="31"/>
  <c r="N26" i="31"/>
  <c r="M25" i="31"/>
  <c r="M18" i="31"/>
  <c r="M17" i="31"/>
  <c r="M24" i="31"/>
  <c r="M19" i="31"/>
  <c r="N24" i="31"/>
  <c r="N30" i="31"/>
  <c r="N28" i="31"/>
  <c r="N22" i="31"/>
  <c r="N33" i="31"/>
  <c r="M31" i="31"/>
  <c r="M28" i="31"/>
  <c r="M22" i="31"/>
  <c r="M23" i="31"/>
  <c r="N18" i="31"/>
  <c r="N29" i="31"/>
  <c r="N20" i="31"/>
  <c r="M32" i="31"/>
  <c r="M20" i="31"/>
  <c r="M30" i="31"/>
  <c r="N32" i="31"/>
  <c r="N23" i="31"/>
  <c r="N17" i="31"/>
  <c r="M26" i="31"/>
  <c r="M29" i="31"/>
  <c r="N24" i="30"/>
  <c r="M30" i="30"/>
  <c r="N30" i="30"/>
  <c r="N21" i="30"/>
  <c r="N25" i="30"/>
  <c r="N20" i="30"/>
  <c r="N28" i="30"/>
  <c r="N23" i="30"/>
  <c r="M28" i="30"/>
  <c r="M23" i="30"/>
  <c r="M20" i="30"/>
  <c r="N19" i="30"/>
  <c r="N29" i="30"/>
  <c r="N22" i="30"/>
  <c r="N17" i="30"/>
  <c r="N18" i="30"/>
  <c r="N32" i="30"/>
  <c r="M22" i="30"/>
  <c r="M17" i="30"/>
  <c r="M32" i="30"/>
  <c r="M29" i="30"/>
  <c r="N31" i="30"/>
  <c r="N26" i="30"/>
  <c r="M25" i="30"/>
  <c r="M31" i="30"/>
  <c r="M26" i="30"/>
  <c r="M33" i="30"/>
  <c r="M21" i="30"/>
  <c r="M18" i="30"/>
  <c r="M27" i="30"/>
  <c r="M24" i="30"/>
  <c r="M19" i="30"/>
  <c r="N24" i="29"/>
  <c r="M25" i="29"/>
  <c r="N33" i="29"/>
  <c r="N18" i="29"/>
  <c r="N30" i="29"/>
  <c r="M19" i="29"/>
  <c r="N17" i="29"/>
  <c r="M28" i="29"/>
  <c r="M17" i="29"/>
  <c r="N27" i="29"/>
  <c r="N19" i="29"/>
  <c r="M22" i="29"/>
  <c r="N21" i="29"/>
  <c r="M31" i="29"/>
  <c r="M30" i="29"/>
  <c r="M27" i="29"/>
  <c r="M24" i="29"/>
  <c r="M21" i="29"/>
  <c r="M18" i="29"/>
  <c r="M33" i="29"/>
  <c r="N32" i="29"/>
  <c r="N29" i="29"/>
  <c r="N26" i="29"/>
  <c r="N23" i="29"/>
  <c r="N20" i="29"/>
  <c r="M32" i="29"/>
  <c r="M29" i="29"/>
  <c r="M26" i="29"/>
  <c r="M23" i="29"/>
  <c r="M20" i="29"/>
  <c r="N31" i="29"/>
  <c r="N28" i="29"/>
  <c r="N25" i="29"/>
  <c r="N22" i="29"/>
  <c r="N23" i="28"/>
  <c r="M18" i="28"/>
  <c r="O3" i="28"/>
  <c r="N22" i="28"/>
  <c r="N28" i="28"/>
  <c r="M17" i="28"/>
  <c r="M23" i="28"/>
  <c r="M29" i="28"/>
  <c r="N29" i="28"/>
  <c r="M24" i="28"/>
  <c r="N24" i="28"/>
  <c r="M19" i="28"/>
  <c r="M25" i="28"/>
  <c r="M31" i="28"/>
  <c r="N30" i="28"/>
  <c r="N19" i="28"/>
  <c r="N25" i="28"/>
  <c r="N31" i="28"/>
  <c r="M26" i="28"/>
  <c r="M32" i="28"/>
  <c r="M30" i="28"/>
  <c r="N18" i="28"/>
  <c r="M20" i="28"/>
  <c r="N20" i="28"/>
  <c r="N26" i="28"/>
  <c r="N32" i="28"/>
  <c r="M21" i="28"/>
  <c r="M27" i="28"/>
  <c r="M33" i="28"/>
  <c r="N21" i="28"/>
  <c r="N27" i="28"/>
  <c r="N33" i="28"/>
  <c r="N17" i="28"/>
  <c r="M22" i="28"/>
  <c r="M28" i="28"/>
  <c r="T3" i="28"/>
  <c r="S3" i="28"/>
  <c r="S7" i="28"/>
  <c r="P7" i="28"/>
  <c r="T7" i="28" s="1"/>
  <c r="L7" i="28"/>
  <c r="B69" i="27"/>
  <c r="C69" i="27"/>
  <c r="D69" i="27"/>
  <c r="E69" i="27"/>
  <c r="F69" i="27"/>
  <c r="G69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B56" i="27"/>
  <c r="C56" i="27"/>
  <c r="D56" i="27"/>
  <c r="E56" i="27"/>
  <c r="F56" i="27"/>
  <c r="B57" i="27"/>
  <c r="C57" i="27"/>
  <c r="D57" i="27"/>
  <c r="E57" i="27"/>
  <c r="F57" i="27"/>
  <c r="B58" i="27"/>
  <c r="C58" i="27"/>
  <c r="D58" i="27"/>
  <c r="E58" i="27"/>
  <c r="F58" i="27"/>
  <c r="B59" i="27"/>
  <c r="C59" i="27"/>
  <c r="D59" i="27"/>
  <c r="E59" i="27"/>
  <c r="F59" i="27"/>
  <c r="B60" i="27"/>
  <c r="C60" i="27"/>
  <c r="D60" i="27"/>
  <c r="E60" i="27"/>
  <c r="F60" i="27"/>
  <c r="B61" i="27"/>
  <c r="C61" i="27"/>
  <c r="D61" i="27"/>
  <c r="E61" i="27"/>
  <c r="F61" i="27"/>
  <c r="B62" i="27"/>
  <c r="C62" i="27"/>
  <c r="D62" i="27"/>
  <c r="E62" i="27"/>
  <c r="F62" i="27"/>
  <c r="B63" i="27"/>
  <c r="C63" i="27"/>
  <c r="D63" i="27"/>
  <c r="E63" i="27"/>
  <c r="F63" i="27"/>
  <c r="B64" i="27"/>
  <c r="C64" i="27"/>
  <c r="D64" i="27"/>
  <c r="E64" i="27"/>
  <c r="F64" i="27"/>
  <c r="B65" i="27"/>
  <c r="C65" i="27"/>
  <c r="D65" i="27"/>
  <c r="E65" i="27"/>
  <c r="F65" i="27"/>
  <c r="B66" i="27"/>
  <c r="C66" i="27"/>
  <c r="D66" i="27"/>
  <c r="E66" i="27"/>
  <c r="F66" i="27"/>
  <c r="B67" i="27"/>
  <c r="C67" i="27"/>
  <c r="D67" i="27"/>
  <c r="E67" i="27"/>
  <c r="F67" i="27"/>
  <c r="B68" i="27"/>
  <c r="C68" i="27"/>
  <c r="D68" i="27"/>
  <c r="E68" i="27"/>
  <c r="F68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B51" i="27"/>
  <c r="C51" i="27"/>
  <c r="D51" i="27"/>
  <c r="E51" i="27"/>
  <c r="F51" i="27"/>
  <c r="G51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B38" i="27"/>
  <c r="C38" i="27"/>
  <c r="D38" i="27"/>
  <c r="E38" i="27"/>
  <c r="F38" i="27"/>
  <c r="B39" i="27"/>
  <c r="C39" i="27"/>
  <c r="D39" i="27"/>
  <c r="E39" i="27"/>
  <c r="F39" i="27"/>
  <c r="B40" i="27"/>
  <c r="C40" i="27"/>
  <c r="D40" i="27"/>
  <c r="E40" i="27"/>
  <c r="F40" i="27"/>
  <c r="B41" i="27"/>
  <c r="C41" i="27"/>
  <c r="D41" i="27"/>
  <c r="E41" i="27"/>
  <c r="F41" i="27"/>
  <c r="B42" i="27"/>
  <c r="C42" i="27"/>
  <c r="D42" i="27"/>
  <c r="E42" i="27"/>
  <c r="F42" i="27"/>
  <c r="B43" i="27"/>
  <c r="C43" i="27"/>
  <c r="D43" i="27"/>
  <c r="E43" i="27"/>
  <c r="F43" i="27"/>
  <c r="B44" i="27"/>
  <c r="C44" i="27"/>
  <c r="D44" i="27"/>
  <c r="E44" i="27"/>
  <c r="F44" i="27"/>
  <c r="B45" i="27"/>
  <c r="C45" i="27"/>
  <c r="D45" i="27"/>
  <c r="E45" i="27"/>
  <c r="F45" i="27"/>
  <c r="B46" i="27"/>
  <c r="C46" i="27"/>
  <c r="D46" i="27"/>
  <c r="E46" i="27"/>
  <c r="F46" i="27"/>
  <c r="B47" i="27"/>
  <c r="C47" i="27"/>
  <c r="D47" i="27"/>
  <c r="E47" i="27"/>
  <c r="F47" i="27"/>
  <c r="B48" i="27"/>
  <c r="C48" i="27"/>
  <c r="D48" i="27"/>
  <c r="E48" i="27"/>
  <c r="F48" i="27"/>
  <c r="B49" i="27"/>
  <c r="C49" i="27"/>
  <c r="D49" i="27"/>
  <c r="E49" i="27"/>
  <c r="F49" i="27"/>
  <c r="B50" i="27"/>
  <c r="C50" i="27"/>
  <c r="D50" i="27"/>
  <c r="E50" i="27"/>
  <c r="F50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B33" i="27"/>
  <c r="B32" i="27"/>
  <c r="B31" i="27"/>
  <c r="B29" i="27"/>
  <c r="C29" i="27"/>
  <c r="D29" i="27"/>
  <c r="E29" i="27"/>
  <c r="F29" i="27"/>
  <c r="G29" i="27"/>
  <c r="B27" i="27"/>
  <c r="C27" i="27"/>
  <c r="D27" i="27"/>
  <c r="E27" i="27"/>
  <c r="F27" i="27"/>
  <c r="G27" i="27"/>
  <c r="G23" i="27"/>
  <c r="G24" i="27"/>
  <c r="G25" i="27"/>
  <c r="G26" i="27"/>
  <c r="B23" i="27"/>
  <c r="C23" i="27"/>
  <c r="D23" i="27"/>
  <c r="E23" i="27"/>
  <c r="F23" i="27"/>
  <c r="B24" i="27"/>
  <c r="C24" i="27"/>
  <c r="D24" i="27"/>
  <c r="E24" i="27"/>
  <c r="F24" i="27"/>
  <c r="B25" i="27"/>
  <c r="C25" i="27"/>
  <c r="D25" i="27"/>
  <c r="E25" i="27"/>
  <c r="F25" i="27"/>
  <c r="B26" i="27"/>
  <c r="C26" i="27"/>
  <c r="D26" i="27"/>
  <c r="E26" i="27"/>
  <c r="F26" i="27"/>
  <c r="B20" i="27"/>
  <c r="C20" i="27"/>
  <c r="D20" i="27"/>
  <c r="E20" i="27"/>
  <c r="F20" i="27"/>
  <c r="G20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B7" i="27"/>
  <c r="C7" i="27"/>
  <c r="D7" i="27"/>
  <c r="E7" i="27"/>
  <c r="F7" i="27"/>
  <c r="B8" i="27"/>
  <c r="C8" i="27"/>
  <c r="D8" i="27"/>
  <c r="E8" i="27"/>
  <c r="F8" i="27"/>
  <c r="B9" i="27"/>
  <c r="C9" i="27"/>
  <c r="D9" i="27"/>
  <c r="E9" i="27"/>
  <c r="F9" i="27"/>
  <c r="B10" i="27"/>
  <c r="C10" i="27"/>
  <c r="D10" i="27"/>
  <c r="E10" i="27"/>
  <c r="F10" i="27"/>
  <c r="B11" i="27"/>
  <c r="C11" i="27"/>
  <c r="D11" i="27"/>
  <c r="E11" i="27"/>
  <c r="F11" i="27"/>
  <c r="B12" i="27"/>
  <c r="C12" i="27"/>
  <c r="D12" i="27"/>
  <c r="E12" i="27"/>
  <c r="F12" i="27"/>
  <c r="B13" i="27"/>
  <c r="C13" i="27"/>
  <c r="D13" i="27"/>
  <c r="E13" i="27"/>
  <c r="F13" i="27"/>
  <c r="B14" i="27"/>
  <c r="C14" i="27"/>
  <c r="D14" i="27"/>
  <c r="E14" i="27"/>
  <c r="F14" i="27"/>
  <c r="B15" i="27"/>
  <c r="C15" i="27"/>
  <c r="D15" i="27"/>
  <c r="E15" i="27"/>
  <c r="F15" i="27"/>
  <c r="B16" i="27"/>
  <c r="C16" i="27"/>
  <c r="D16" i="27"/>
  <c r="E16" i="27"/>
  <c r="F16" i="27"/>
  <c r="B17" i="27"/>
  <c r="C17" i="27"/>
  <c r="D17" i="27"/>
  <c r="E17" i="27"/>
  <c r="F17" i="27"/>
  <c r="B18" i="27"/>
  <c r="C18" i="27"/>
  <c r="D18" i="27"/>
  <c r="E18" i="27"/>
  <c r="F18" i="27"/>
  <c r="B19" i="27"/>
  <c r="C19" i="27"/>
  <c r="D19" i="27"/>
  <c r="E19" i="27"/>
  <c r="F19" i="27"/>
  <c r="B19" i="26"/>
  <c r="C19" i="26"/>
  <c r="D19" i="26"/>
  <c r="E19" i="26"/>
  <c r="F19" i="26"/>
  <c r="G19" i="26"/>
  <c r="B64" i="26"/>
  <c r="C64" i="26"/>
  <c r="D64" i="26"/>
  <c r="E64" i="26"/>
  <c r="F64" i="26"/>
  <c r="G64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B52" i="26"/>
  <c r="C52" i="26"/>
  <c r="D52" i="26"/>
  <c r="E52" i="26"/>
  <c r="F52" i="26"/>
  <c r="B53" i="26"/>
  <c r="C53" i="26"/>
  <c r="D53" i="26"/>
  <c r="E53" i="26"/>
  <c r="F53" i="26"/>
  <c r="B54" i="26"/>
  <c r="C54" i="26"/>
  <c r="D54" i="26"/>
  <c r="E54" i="26"/>
  <c r="F54" i="26"/>
  <c r="B55" i="26"/>
  <c r="C55" i="26"/>
  <c r="D55" i="26"/>
  <c r="E55" i="26"/>
  <c r="F55" i="26"/>
  <c r="B56" i="26"/>
  <c r="C56" i="26"/>
  <c r="D56" i="26"/>
  <c r="E56" i="26"/>
  <c r="F56" i="26"/>
  <c r="B57" i="26"/>
  <c r="C57" i="26"/>
  <c r="D57" i="26"/>
  <c r="F57" i="26"/>
  <c r="B58" i="26"/>
  <c r="C58" i="26"/>
  <c r="D58" i="26"/>
  <c r="E58" i="26"/>
  <c r="F58" i="26"/>
  <c r="B59" i="26"/>
  <c r="C59" i="26"/>
  <c r="D59" i="26"/>
  <c r="E59" i="26"/>
  <c r="F59" i="26"/>
  <c r="B60" i="26"/>
  <c r="C60" i="26"/>
  <c r="D60" i="26"/>
  <c r="E60" i="26"/>
  <c r="F60" i="26"/>
  <c r="B61" i="26"/>
  <c r="C61" i="26"/>
  <c r="D61" i="26"/>
  <c r="E61" i="26"/>
  <c r="F61" i="26"/>
  <c r="B62" i="26"/>
  <c r="C62" i="26"/>
  <c r="D62" i="26"/>
  <c r="E62" i="26"/>
  <c r="F62" i="26"/>
  <c r="B63" i="26"/>
  <c r="C63" i="26"/>
  <c r="D63" i="26"/>
  <c r="E63" i="26"/>
  <c r="F63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B35" i="26"/>
  <c r="C35" i="26"/>
  <c r="D35" i="26"/>
  <c r="E35" i="26"/>
  <c r="F35" i="26"/>
  <c r="F47" i="26" s="1"/>
  <c r="B36" i="26"/>
  <c r="C36" i="26"/>
  <c r="D36" i="26"/>
  <c r="E36" i="26"/>
  <c r="E47" i="26" s="1"/>
  <c r="F36" i="26"/>
  <c r="B37" i="26"/>
  <c r="B47" i="26" s="1"/>
  <c r="C37" i="26"/>
  <c r="D37" i="26"/>
  <c r="E37" i="26"/>
  <c r="F37" i="26"/>
  <c r="B38" i="26"/>
  <c r="C38" i="26"/>
  <c r="D38" i="26"/>
  <c r="E38" i="26"/>
  <c r="F38" i="26"/>
  <c r="B39" i="26"/>
  <c r="C39" i="26"/>
  <c r="D39" i="26"/>
  <c r="D47" i="26" s="1"/>
  <c r="E39" i="26"/>
  <c r="F39" i="26"/>
  <c r="B40" i="26"/>
  <c r="C40" i="26"/>
  <c r="D40" i="26"/>
  <c r="E40" i="26"/>
  <c r="F40" i="26"/>
  <c r="B41" i="26"/>
  <c r="C41" i="26"/>
  <c r="D41" i="26"/>
  <c r="E41" i="26"/>
  <c r="F41" i="26"/>
  <c r="B42" i="26"/>
  <c r="C42" i="26"/>
  <c r="D42" i="26"/>
  <c r="E42" i="26"/>
  <c r="F42" i="26"/>
  <c r="B43" i="26"/>
  <c r="C43" i="26"/>
  <c r="D43" i="26"/>
  <c r="E43" i="26"/>
  <c r="F43" i="26"/>
  <c r="B44" i="26"/>
  <c r="C44" i="26"/>
  <c r="D44" i="26"/>
  <c r="E44" i="26"/>
  <c r="F44" i="26"/>
  <c r="B45" i="26"/>
  <c r="C45" i="26"/>
  <c r="D45" i="26"/>
  <c r="E45" i="26"/>
  <c r="F45" i="26"/>
  <c r="B46" i="26"/>
  <c r="C46" i="26"/>
  <c r="D46" i="26"/>
  <c r="E46" i="26"/>
  <c r="F46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B31" i="26"/>
  <c r="C27" i="26"/>
  <c r="D27" i="26"/>
  <c r="E27" i="26"/>
  <c r="F27" i="26"/>
  <c r="G27" i="26"/>
  <c r="B30" i="26" s="1"/>
  <c r="C25" i="26"/>
  <c r="D25" i="26"/>
  <c r="E25" i="26"/>
  <c r="F25" i="26"/>
  <c r="G25" i="26"/>
  <c r="G22" i="26"/>
  <c r="G23" i="26"/>
  <c r="G24" i="26"/>
  <c r="G8" i="26"/>
  <c r="G9" i="26"/>
  <c r="G10" i="26"/>
  <c r="G11" i="26"/>
  <c r="G12" i="26"/>
  <c r="G13" i="26"/>
  <c r="G14" i="26"/>
  <c r="G15" i="26"/>
  <c r="G16" i="26"/>
  <c r="G17" i="26"/>
  <c r="G18" i="26"/>
  <c r="B29" i="26"/>
  <c r="B27" i="26"/>
  <c r="B25" i="26"/>
  <c r="G7" i="26"/>
  <c r="F24" i="26"/>
  <c r="E24" i="26"/>
  <c r="D24" i="26"/>
  <c r="C24" i="26"/>
  <c r="B24" i="26"/>
  <c r="F23" i="26"/>
  <c r="E23" i="26"/>
  <c r="D23" i="26"/>
  <c r="C23" i="26"/>
  <c r="B23" i="26"/>
  <c r="F22" i="26"/>
  <c r="E22" i="26"/>
  <c r="D22" i="26"/>
  <c r="C22" i="26"/>
  <c r="B22" i="26"/>
  <c r="F18" i="26"/>
  <c r="E18" i="26"/>
  <c r="D18" i="26"/>
  <c r="C18" i="26"/>
  <c r="B18" i="26"/>
  <c r="F17" i="26"/>
  <c r="E17" i="26"/>
  <c r="D17" i="26"/>
  <c r="C17" i="26"/>
  <c r="B17" i="26"/>
  <c r="F16" i="26"/>
  <c r="E16" i="26"/>
  <c r="D16" i="26"/>
  <c r="C16" i="26"/>
  <c r="B16" i="26"/>
  <c r="F15" i="26"/>
  <c r="E15" i="26"/>
  <c r="D15" i="26"/>
  <c r="C15" i="26"/>
  <c r="B15" i="26"/>
  <c r="F14" i="26"/>
  <c r="E14" i="26"/>
  <c r="D14" i="26"/>
  <c r="C14" i="26"/>
  <c r="B14" i="26"/>
  <c r="F13" i="26"/>
  <c r="E13" i="26"/>
  <c r="D13" i="26"/>
  <c r="C13" i="26"/>
  <c r="B13" i="26"/>
  <c r="F12" i="26"/>
  <c r="E12" i="26"/>
  <c r="D12" i="26"/>
  <c r="C12" i="26"/>
  <c r="B12" i="26"/>
  <c r="F11" i="26"/>
  <c r="E11" i="26"/>
  <c r="D11" i="26"/>
  <c r="C11" i="26"/>
  <c r="B11" i="26"/>
  <c r="F10" i="26"/>
  <c r="E10" i="26"/>
  <c r="D10" i="26"/>
  <c r="C10" i="26"/>
  <c r="B10" i="26"/>
  <c r="F9" i="26"/>
  <c r="E9" i="26"/>
  <c r="D9" i="26"/>
  <c r="C9" i="26"/>
  <c r="B9" i="26"/>
  <c r="F8" i="26"/>
  <c r="E8" i="26"/>
  <c r="D8" i="26"/>
  <c r="C8" i="26"/>
  <c r="B8" i="26"/>
  <c r="F7" i="26"/>
  <c r="E7" i="26"/>
  <c r="D7" i="26"/>
  <c r="C7" i="26"/>
  <c r="B7" i="26"/>
  <c r="N31" i="16"/>
  <c r="N32" i="16"/>
  <c r="F14" i="2"/>
  <c r="F15" i="2"/>
  <c r="C15" i="2" s="1"/>
  <c r="F16" i="2"/>
  <c r="C16" i="2" s="1"/>
  <c r="F17" i="2"/>
  <c r="C17" i="2" s="1"/>
  <c r="C18" i="2"/>
  <c r="F19" i="2"/>
  <c r="C19" i="2" s="1"/>
  <c r="F20" i="2"/>
  <c r="C20" i="2" s="1"/>
  <c r="F21" i="2"/>
  <c r="C21" i="2" s="1"/>
  <c r="F13" i="2"/>
  <c r="E21" i="2"/>
  <c r="E20" i="2"/>
  <c r="E19" i="2"/>
  <c r="K3" i="25"/>
  <c r="L3" i="25" s="1"/>
  <c r="P3" i="25" s="1"/>
  <c r="L33" i="25"/>
  <c r="K33" i="25"/>
  <c r="L32" i="25"/>
  <c r="K32" i="25"/>
  <c r="L31" i="25"/>
  <c r="K31" i="25"/>
  <c r="L30" i="25"/>
  <c r="K30" i="25"/>
  <c r="L29" i="25"/>
  <c r="K29" i="25"/>
  <c r="L28" i="25"/>
  <c r="K28" i="25"/>
  <c r="L27" i="25"/>
  <c r="K27" i="25"/>
  <c r="L26" i="25"/>
  <c r="K26" i="25"/>
  <c r="L25" i="25"/>
  <c r="K25" i="25"/>
  <c r="L24" i="25"/>
  <c r="K24" i="25"/>
  <c r="L23" i="25"/>
  <c r="K23" i="25"/>
  <c r="L22" i="25"/>
  <c r="K22" i="25"/>
  <c r="L21" i="25"/>
  <c r="K21" i="25"/>
  <c r="L20" i="25"/>
  <c r="K20" i="25"/>
  <c r="L19" i="25"/>
  <c r="K19" i="25"/>
  <c r="L18" i="25"/>
  <c r="K18" i="25"/>
  <c r="L17" i="25"/>
  <c r="K17" i="25"/>
  <c r="B7" i="25"/>
  <c r="C4" i="25"/>
  <c r="B8" i="25" s="1"/>
  <c r="N44" i="21"/>
  <c r="N46" i="21" s="1"/>
  <c r="N47" i="21" s="1"/>
  <c r="M44" i="21"/>
  <c r="M46" i="21" s="1"/>
  <c r="M47" i="21" s="1"/>
  <c r="L44" i="21"/>
  <c r="L46" i="21" s="1"/>
  <c r="L47" i="21" s="1"/>
  <c r="K44" i="21"/>
  <c r="K46" i="21" s="1"/>
  <c r="K47" i="21" s="1"/>
  <c r="N37" i="21"/>
  <c r="N39" i="21" s="1"/>
  <c r="N40" i="21" s="1"/>
  <c r="M37" i="21"/>
  <c r="M39" i="21" s="1"/>
  <c r="M40" i="21" s="1"/>
  <c r="L37" i="21"/>
  <c r="L39" i="21" s="1"/>
  <c r="L40" i="21" s="1"/>
  <c r="K37" i="21"/>
  <c r="K39" i="21" s="1"/>
  <c r="K40" i="21" s="1"/>
  <c r="D61" i="21"/>
  <c r="C62" i="21"/>
  <c r="E18" i="2"/>
  <c r="E17" i="2"/>
  <c r="C12" i="17"/>
  <c r="D12" i="17"/>
  <c r="C13" i="17"/>
  <c r="D13" i="17"/>
  <c r="C14" i="17"/>
  <c r="D14" i="17"/>
  <c r="C15" i="17"/>
  <c r="D15" i="17"/>
  <c r="C16" i="17"/>
  <c r="D16" i="17"/>
  <c r="C17" i="17"/>
  <c r="D17" i="17"/>
  <c r="C18" i="17"/>
  <c r="D18" i="17"/>
  <c r="C19" i="17"/>
  <c r="D19" i="17"/>
  <c r="C20" i="17"/>
  <c r="D20" i="17"/>
  <c r="C21" i="17"/>
  <c r="D21" i="17"/>
  <c r="C22" i="17"/>
  <c r="D22" i="17"/>
  <c r="D11" i="17"/>
  <c r="C11" i="17"/>
  <c r="E22" i="17"/>
  <c r="E21" i="17"/>
  <c r="E20" i="17"/>
  <c r="E19" i="17"/>
  <c r="E18" i="17"/>
  <c r="E16" i="17"/>
  <c r="E15" i="17"/>
  <c r="E14" i="17"/>
  <c r="E13" i="17"/>
  <c r="E12" i="17"/>
  <c r="E29" i="17" s="1"/>
  <c r="E11" i="17"/>
  <c r="E28" i="17" s="1"/>
  <c r="P23" i="17"/>
  <c r="I13" i="17"/>
  <c r="J13" i="17" s="1"/>
  <c r="I14" i="17"/>
  <c r="J14" i="17" s="1"/>
  <c r="I15" i="17"/>
  <c r="J15" i="17" s="1"/>
  <c r="I16" i="17"/>
  <c r="J16" i="17" s="1"/>
  <c r="I17" i="17"/>
  <c r="J17" i="17" s="1"/>
  <c r="I18" i="17"/>
  <c r="J18" i="17" s="1"/>
  <c r="I19" i="17"/>
  <c r="J19" i="17" s="1"/>
  <c r="I20" i="17"/>
  <c r="J20" i="17" s="1"/>
  <c r="I21" i="17"/>
  <c r="J21" i="17" s="1"/>
  <c r="I22" i="17"/>
  <c r="J22" i="17" s="1"/>
  <c r="I35" i="16"/>
  <c r="P5" i="21"/>
  <c r="O5" i="21" s="1"/>
  <c r="K5" i="25" s="1"/>
  <c r="O2" i="21"/>
  <c r="K2" i="25" s="1"/>
  <c r="O7" i="21"/>
  <c r="K7" i="25" s="1"/>
  <c r="O7" i="25" s="1"/>
  <c r="L33" i="21"/>
  <c r="K33" i="21"/>
  <c r="L32" i="21"/>
  <c r="K32" i="21"/>
  <c r="K25" i="21"/>
  <c r="L25" i="21"/>
  <c r="K26" i="21"/>
  <c r="L26" i="21"/>
  <c r="K27" i="21"/>
  <c r="L27" i="21"/>
  <c r="K28" i="21"/>
  <c r="L28" i="21"/>
  <c r="K29" i="21"/>
  <c r="L29" i="21"/>
  <c r="K30" i="21"/>
  <c r="L30" i="21"/>
  <c r="P6" i="21"/>
  <c r="L6" i="25" s="1"/>
  <c r="P6" i="25" s="1"/>
  <c r="L6" i="28" s="1"/>
  <c r="P6" i="28" s="1"/>
  <c r="T6" i="28" s="1"/>
  <c r="L18" i="21"/>
  <c r="L19" i="21"/>
  <c r="L20" i="21"/>
  <c r="L21" i="21"/>
  <c r="L22" i="21"/>
  <c r="L23" i="21"/>
  <c r="L24" i="21"/>
  <c r="L31" i="21"/>
  <c r="L17" i="21"/>
  <c r="K17" i="21"/>
  <c r="K18" i="21"/>
  <c r="K19" i="21"/>
  <c r="K20" i="21"/>
  <c r="K21" i="21"/>
  <c r="K22" i="21"/>
  <c r="K23" i="21"/>
  <c r="K24" i="21"/>
  <c r="K31" i="21"/>
  <c r="P4" i="21"/>
  <c r="O4" i="21" s="1"/>
  <c r="K4" i="25" s="1"/>
  <c r="P8" i="21"/>
  <c r="L8" i="25" s="1"/>
  <c r="P8" i="25" s="1"/>
  <c r="P9" i="21"/>
  <c r="L9" i="25" s="1"/>
  <c r="P9" i="25" s="1"/>
  <c r="P10" i="21"/>
  <c r="O10" i="21" s="1"/>
  <c r="K10" i="25" s="1"/>
  <c r="L7" i="21"/>
  <c r="L3" i="21"/>
  <c r="P3" i="21" s="1"/>
  <c r="L2" i="21"/>
  <c r="K5" i="21"/>
  <c r="K6" i="21"/>
  <c r="K8" i="21"/>
  <c r="K9" i="21"/>
  <c r="K10" i="21"/>
  <c r="K4" i="21"/>
  <c r="B7" i="21"/>
  <c r="C4" i="21"/>
  <c r="B8" i="21" s="1"/>
  <c r="M31" i="16"/>
  <c r="I16" i="16"/>
  <c r="I40" i="16"/>
  <c r="I39" i="16"/>
  <c r="I38" i="16"/>
  <c r="I37" i="16"/>
  <c r="I36" i="16"/>
  <c r="I34" i="16"/>
  <c r="I33" i="16"/>
  <c r="I32" i="16"/>
  <c r="I31" i="16"/>
  <c r="I26" i="16"/>
  <c r="I25" i="16"/>
  <c r="I24" i="16"/>
  <c r="I23" i="16"/>
  <c r="I22" i="16"/>
  <c r="I20" i="16"/>
  <c r="I19" i="16"/>
  <c r="I18" i="16"/>
  <c r="I17" i="16"/>
  <c r="I12" i="16"/>
  <c r="I11" i="16"/>
  <c r="I10" i="16"/>
  <c r="I9" i="16"/>
  <c r="I8" i="16"/>
  <c r="I6" i="16"/>
  <c r="I5" i="16"/>
  <c r="I4" i="16"/>
  <c r="N18" i="16"/>
  <c r="N17" i="16"/>
  <c r="M18" i="16"/>
  <c r="M17" i="16"/>
  <c r="M32" i="16"/>
  <c r="E3" i="17"/>
  <c r="E4" i="17"/>
  <c r="E16" i="2"/>
  <c r="B39" i="13" a="1"/>
  <c r="B39" i="13" s="1"/>
  <c r="B38" i="13" a="1"/>
  <c r="B38" i="13" s="1"/>
  <c r="B37" i="13" a="1"/>
  <c r="B37" i="13" s="1"/>
  <c r="B36" i="13" a="1"/>
  <c r="B36" i="13" s="1"/>
  <c r="B35" i="13" a="1"/>
  <c r="B35" i="13" s="1"/>
  <c r="B38" i="12" a="1"/>
  <c r="B38" i="12" s="1"/>
  <c r="B37" i="12" a="1"/>
  <c r="B37" i="12" s="1"/>
  <c r="B36" i="12" a="1"/>
  <c r="B36" i="12" s="1"/>
  <c r="B35" i="12" a="1"/>
  <c r="B35" i="12" s="1"/>
  <c r="B39" i="11" a="1"/>
  <c r="B39" i="11" s="1"/>
  <c r="B38" i="11" a="1"/>
  <c r="B38" i="11" s="1"/>
  <c r="B37" i="11" a="1"/>
  <c r="B37" i="11" s="1"/>
  <c r="B36" i="11" a="1"/>
  <c r="B36" i="11" s="1"/>
  <c r="B35" i="11" a="1"/>
  <c r="B35" i="11" s="1"/>
  <c r="B38" i="9" a="1"/>
  <c r="B38" i="9" s="1"/>
  <c r="J28" i="16"/>
  <c r="L3" i="30" l="1"/>
  <c r="P3" i="30" s="1"/>
  <c r="T3" i="30" s="1"/>
  <c r="O3" i="30"/>
  <c r="T4" i="2"/>
  <c r="T6" i="2"/>
  <c r="T3" i="2"/>
  <c r="T5" i="2"/>
  <c r="S7" i="29"/>
  <c r="K7" i="30"/>
  <c r="P7" i="29"/>
  <c r="T7" i="29" s="1"/>
  <c r="I6" i="23"/>
  <c r="E55" i="32"/>
  <c r="C32" i="23"/>
  <c r="F59" i="32"/>
  <c r="F99" i="32"/>
  <c r="G59" i="32"/>
  <c r="G99" i="32"/>
  <c r="H59" i="32"/>
  <c r="H99" i="32"/>
  <c r="H32" i="23"/>
  <c r="H56" i="32"/>
  <c r="H57" i="32" s="1"/>
  <c r="F32" i="23"/>
  <c r="F56" i="32"/>
  <c r="F57" i="32" s="1"/>
  <c r="I12" i="23"/>
  <c r="E56" i="32"/>
  <c r="E32" i="23"/>
  <c r="G56" i="32"/>
  <c r="G57" i="32" s="1"/>
  <c r="I24" i="23"/>
  <c r="I7" i="23"/>
  <c r="I15" i="23"/>
  <c r="I5" i="23"/>
  <c r="C56" i="32"/>
  <c r="C57" i="32" s="1"/>
  <c r="C59" i="32" s="1"/>
  <c r="C99" i="32" s="1"/>
  <c r="T8" i="25"/>
  <c r="L8" i="28"/>
  <c r="P8" i="28" s="1"/>
  <c r="I25" i="23"/>
  <c r="D32" i="23"/>
  <c r="I8" i="23"/>
  <c r="D56" i="32"/>
  <c r="D57" i="32" s="1"/>
  <c r="D59" i="32" s="1"/>
  <c r="D99" i="32" s="1"/>
  <c r="O6" i="28"/>
  <c r="L6" i="29"/>
  <c r="P6" i="29" s="1"/>
  <c r="T9" i="25"/>
  <c r="L9" i="28"/>
  <c r="P9" i="28" s="1"/>
  <c r="J46" i="32"/>
  <c r="J43" i="32"/>
  <c r="J45" i="32"/>
  <c r="J40" i="32"/>
  <c r="J42" i="32"/>
  <c r="J44" i="32"/>
  <c r="J41" i="32"/>
  <c r="I28" i="23"/>
  <c r="I10" i="23"/>
  <c r="I23" i="23"/>
  <c r="I22" i="23"/>
  <c r="I18" i="23"/>
  <c r="I20" i="23"/>
  <c r="I19" i="23"/>
  <c r="I21" i="23"/>
  <c r="I17" i="23"/>
  <c r="I27" i="23"/>
  <c r="I9" i="23"/>
  <c r="I16" i="23"/>
  <c r="I30" i="23"/>
  <c r="I14" i="23"/>
  <c r="I26" i="23"/>
  <c r="I31" i="23"/>
  <c r="I13" i="23"/>
  <c r="I29" i="23"/>
  <c r="I11" i="23"/>
  <c r="C47" i="26"/>
  <c r="S7" i="25"/>
  <c r="T6" i="25"/>
  <c r="C23" i="17"/>
  <c r="O31" i="16"/>
  <c r="L2" i="25"/>
  <c r="O2" i="25"/>
  <c r="L10" i="25"/>
  <c r="P10" i="25" s="1"/>
  <c r="L5" i="25"/>
  <c r="L7" i="25"/>
  <c r="L4" i="25"/>
  <c r="M20" i="25"/>
  <c r="N19" i="25"/>
  <c r="K8" i="28"/>
  <c r="M32" i="25"/>
  <c r="K9" i="28"/>
  <c r="N20" i="25"/>
  <c r="N26" i="25"/>
  <c r="N32" i="25"/>
  <c r="M21" i="25"/>
  <c r="M27" i="25"/>
  <c r="M33" i="25"/>
  <c r="M26" i="25"/>
  <c r="N21" i="25"/>
  <c r="N27" i="25"/>
  <c r="N33" i="25"/>
  <c r="M22" i="25"/>
  <c r="M28" i="25"/>
  <c r="N22" i="25"/>
  <c r="N28" i="25"/>
  <c r="M17" i="25"/>
  <c r="M23" i="25"/>
  <c r="M29" i="25"/>
  <c r="N17" i="25"/>
  <c r="N23" i="25"/>
  <c r="N29" i="25"/>
  <c r="M18" i="25"/>
  <c r="M24" i="25"/>
  <c r="M30" i="25"/>
  <c r="N18" i="25"/>
  <c r="N24" i="25"/>
  <c r="N30" i="25"/>
  <c r="M19" i="25"/>
  <c r="M25" i="25"/>
  <c r="M31" i="25"/>
  <c r="N25" i="25"/>
  <c r="N31" i="25"/>
  <c r="T3" i="25"/>
  <c r="P7" i="25"/>
  <c r="O6" i="25"/>
  <c r="K6" i="28" s="1"/>
  <c r="S10" i="21"/>
  <c r="T3" i="21"/>
  <c r="P2" i="21"/>
  <c r="T2" i="21" s="1"/>
  <c r="T4" i="21"/>
  <c r="S2" i="21"/>
  <c r="T5" i="21"/>
  <c r="T6" i="21"/>
  <c r="S4" i="21"/>
  <c r="S5" i="21"/>
  <c r="T8" i="21"/>
  <c r="T9" i="21"/>
  <c r="S7" i="21"/>
  <c r="T10" i="21"/>
  <c r="M19" i="21"/>
  <c r="N24" i="21"/>
  <c r="N31" i="21"/>
  <c r="M29" i="21"/>
  <c r="N33" i="21"/>
  <c r="M24" i="21"/>
  <c r="N22" i="21"/>
  <c r="N27" i="21"/>
  <c r="P7" i="21"/>
  <c r="L12" i="25" s="1"/>
  <c r="N23" i="21"/>
  <c r="N21" i="21"/>
  <c r="M27" i="21"/>
  <c r="M31" i="21"/>
  <c r="M22" i="21"/>
  <c r="N20" i="21"/>
  <c r="N26" i="21"/>
  <c r="M23" i="21"/>
  <c r="M21" i="21"/>
  <c r="N19" i="21"/>
  <c r="M26" i="21"/>
  <c r="N28" i="21"/>
  <c r="M28" i="21"/>
  <c r="M20" i="21"/>
  <c r="N18" i="21"/>
  <c r="N25" i="21"/>
  <c r="M25" i="21"/>
  <c r="M18" i="21"/>
  <c r="N30" i="21"/>
  <c r="M32" i="21"/>
  <c r="M17" i="21"/>
  <c r="M30" i="21"/>
  <c r="N32" i="21"/>
  <c r="N17" i="21"/>
  <c r="N29" i="21"/>
  <c r="M33" i="21"/>
  <c r="S3" i="21"/>
  <c r="O6" i="21"/>
  <c r="K6" i="25" s="1"/>
  <c r="O8" i="21"/>
  <c r="K8" i="25" s="1"/>
  <c r="O9" i="21"/>
  <c r="K9" i="25" s="1"/>
  <c r="D23" i="17"/>
  <c r="D29" i="17"/>
  <c r="C29" i="17"/>
  <c r="C28" i="17"/>
  <c r="B28" i="17"/>
  <c r="D28" i="17"/>
  <c r="B29" i="17"/>
  <c r="J23" i="17"/>
  <c r="K19" i="17"/>
  <c r="K22" i="17"/>
  <c r="E39" i="17" s="1"/>
  <c r="K20" i="17"/>
  <c r="I23" i="17"/>
  <c r="K21" i="17"/>
  <c r="O17" i="16"/>
  <c r="O18" i="16"/>
  <c r="L12" i="21"/>
  <c r="K12" i="21"/>
  <c r="E42" i="16"/>
  <c r="E28" i="16"/>
  <c r="D28" i="16"/>
  <c r="J14" i="16"/>
  <c r="E14" i="16"/>
  <c r="D14" i="16"/>
  <c r="F5" i="16"/>
  <c r="F6" i="16"/>
  <c r="F7" i="16"/>
  <c r="I7" i="16" s="1"/>
  <c r="F8" i="16"/>
  <c r="F9" i="16"/>
  <c r="F10" i="16"/>
  <c r="F11" i="16"/>
  <c r="F12" i="16"/>
  <c r="F13" i="16"/>
  <c r="I13" i="16" s="1"/>
  <c r="F16" i="16"/>
  <c r="F17" i="16"/>
  <c r="F18" i="16"/>
  <c r="F19" i="16"/>
  <c r="F20" i="16"/>
  <c r="F21" i="16"/>
  <c r="I21" i="16" s="1"/>
  <c r="F22" i="16"/>
  <c r="F23" i="16"/>
  <c r="F24" i="16"/>
  <c r="F25" i="16"/>
  <c r="F26" i="16"/>
  <c r="F27" i="16"/>
  <c r="I27" i="16" s="1"/>
  <c r="F30" i="16"/>
  <c r="F31" i="16"/>
  <c r="F32" i="16"/>
  <c r="F33" i="16"/>
  <c r="F34" i="16"/>
  <c r="F4" i="16"/>
  <c r="F35" i="16"/>
  <c r="F36" i="16"/>
  <c r="J36" i="16" s="1"/>
  <c r="E17" i="17" s="1"/>
  <c r="E23" i="17" s="1"/>
  <c r="F37" i="16"/>
  <c r="F38" i="16"/>
  <c r="F39" i="16"/>
  <c r="F40" i="16"/>
  <c r="F41" i="16"/>
  <c r="I41" i="16" s="1"/>
  <c r="B41" i="13"/>
  <c r="B41" i="12"/>
  <c r="B41" i="11"/>
  <c r="E15" i="2"/>
  <c r="C14" i="2"/>
  <c r="E14" i="2"/>
  <c r="B35" i="10" s="1" a="1"/>
  <c r="B35" i="10" s="1"/>
  <c r="B41" i="10" s="1"/>
  <c r="S3" i="30" l="1"/>
  <c r="K3" i="31"/>
  <c r="T7" i="2"/>
  <c r="O7" i="30"/>
  <c r="L7" i="30"/>
  <c r="E57" i="32"/>
  <c r="E59" i="32" s="1"/>
  <c r="E99" i="32" s="1"/>
  <c r="C6" i="32" a="1"/>
  <c r="C6" i="32" s="1"/>
  <c r="D25" i="32" s="1"/>
  <c r="F25" i="32" s="1"/>
  <c r="G25" i="32" s="1"/>
  <c r="H25" i="32" s="1"/>
  <c r="I32" i="23"/>
  <c r="O10" i="25"/>
  <c r="L10" i="28"/>
  <c r="P10" i="28" s="1"/>
  <c r="P2" i="25"/>
  <c r="T2" i="25" s="1"/>
  <c r="K2" i="28"/>
  <c r="T9" i="28"/>
  <c r="L9" i="29"/>
  <c r="P9" i="29" s="1"/>
  <c r="O9" i="28"/>
  <c r="O6" i="29"/>
  <c r="L6" i="30"/>
  <c r="P6" i="30" s="1"/>
  <c r="T6" i="29"/>
  <c r="S6" i="28"/>
  <c r="K6" i="29"/>
  <c r="L8" i="29"/>
  <c r="P8" i="29" s="1"/>
  <c r="O8" i="28"/>
  <c r="T8" i="28"/>
  <c r="G47" i="26"/>
  <c r="B37" i="9" a="1"/>
  <c r="B37" i="9" s="1"/>
  <c r="B35" i="9" a="1"/>
  <c r="B35" i="9" s="1"/>
  <c r="B36" i="7" a="1"/>
  <c r="B36" i="7" s="1"/>
  <c r="J42" i="16"/>
  <c r="S2" i="25"/>
  <c r="K12" i="25"/>
  <c r="O44" i="25"/>
  <c r="O46" i="25" s="1"/>
  <c r="O47" i="25" s="1"/>
  <c r="K44" i="25"/>
  <c r="K46" i="25" s="1"/>
  <c r="K47" i="25" s="1"/>
  <c r="P4" i="25"/>
  <c r="L4" i="28" s="1"/>
  <c r="N44" i="25"/>
  <c r="N46" i="25" s="1"/>
  <c r="N47" i="25" s="1"/>
  <c r="M44" i="25"/>
  <c r="M46" i="25" s="1"/>
  <c r="M47" i="25" s="1"/>
  <c r="L44" i="25"/>
  <c r="L46" i="25" s="1"/>
  <c r="L47" i="25" s="1"/>
  <c r="S6" i="25"/>
  <c r="T10" i="25"/>
  <c r="S9" i="25"/>
  <c r="K37" i="25"/>
  <c r="K39" i="25" s="1"/>
  <c r="K40" i="25" s="1"/>
  <c r="N37" i="25"/>
  <c r="N39" i="25" s="1"/>
  <c r="N40" i="25" s="1"/>
  <c r="O37" i="25"/>
  <c r="O39" i="25" s="1"/>
  <c r="O40" i="25" s="1"/>
  <c r="M37" i="25"/>
  <c r="M39" i="25" s="1"/>
  <c r="M40" i="25" s="1"/>
  <c r="L37" i="25"/>
  <c r="L39" i="25" s="1"/>
  <c r="L40" i="25" s="1"/>
  <c r="P5" i="25"/>
  <c r="L5" i="28" s="1"/>
  <c r="S8" i="25"/>
  <c r="T7" i="25"/>
  <c r="S3" i="25"/>
  <c r="S9" i="21"/>
  <c r="S8" i="21"/>
  <c r="T7" i="21"/>
  <c r="S6" i="21"/>
  <c r="T12" i="21"/>
  <c r="O12" i="21"/>
  <c r="P12" i="21"/>
  <c r="E37" i="17"/>
  <c r="C39" i="17"/>
  <c r="B39" i="17"/>
  <c r="D39" i="17"/>
  <c r="E38" i="17"/>
  <c r="C38" i="17" s="1"/>
  <c r="E36" i="17"/>
  <c r="F28" i="16"/>
  <c r="F42" i="16"/>
  <c r="D42" i="16"/>
  <c r="F14" i="16"/>
  <c r="E4" i="2"/>
  <c r="E5" i="2"/>
  <c r="B35" i="19" s="1" a="1"/>
  <c r="B35" i="19" s="1"/>
  <c r="E6" i="2"/>
  <c r="E7" i="2"/>
  <c r="E8" i="2"/>
  <c r="E9" i="2"/>
  <c r="B36" i="18" s="1" a="1"/>
  <c r="B36" i="18" s="1"/>
  <c r="E10" i="2"/>
  <c r="E11" i="2"/>
  <c r="E12" i="2"/>
  <c r="E13" i="2"/>
  <c r="E3" i="2"/>
  <c r="B35" i="18" s="1" a="1"/>
  <c r="B35" i="18" s="1"/>
  <c r="C6" i="2"/>
  <c r="C7" i="2"/>
  <c r="C8" i="2"/>
  <c r="C9" i="2"/>
  <c r="C10" i="2"/>
  <c r="C11" i="2"/>
  <c r="C12" i="2"/>
  <c r="C13" i="2"/>
  <c r="C4" i="2"/>
  <c r="C5" i="2"/>
  <c r="C3" i="2"/>
  <c r="L3" i="31" l="1"/>
  <c r="P3" i="31" s="1"/>
  <c r="T3" i="31" s="1"/>
  <c r="O3" i="31"/>
  <c r="S3" i="31" s="1"/>
  <c r="S7" i="30"/>
  <c r="P7" i="30"/>
  <c r="T7" i="30" s="1"/>
  <c r="K7" i="31"/>
  <c r="D42" i="32"/>
  <c r="F42" i="32" s="1"/>
  <c r="G42" i="32" s="1"/>
  <c r="H42" i="32" s="1"/>
  <c r="D44" i="32"/>
  <c r="F44" i="32" s="1"/>
  <c r="G44" i="32" s="1"/>
  <c r="H44" i="32" s="1"/>
  <c r="D47" i="32"/>
  <c r="F47" i="32" s="1"/>
  <c r="D31" i="32"/>
  <c r="K31" i="32" s="1"/>
  <c r="D36" i="32"/>
  <c r="K36" i="32" s="1"/>
  <c r="D32" i="32"/>
  <c r="K32" i="32" s="1"/>
  <c r="D40" i="32"/>
  <c r="F40" i="32" s="1"/>
  <c r="D49" i="32"/>
  <c r="F49" i="32" s="1"/>
  <c r="G49" i="32" s="1"/>
  <c r="H49" i="32" s="1"/>
  <c r="D33" i="32"/>
  <c r="F33" i="32" s="1"/>
  <c r="D29" i="32"/>
  <c r="K29" i="32" s="1"/>
  <c r="D39" i="32"/>
  <c r="F39" i="32" s="1"/>
  <c r="G39" i="32" s="1"/>
  <c r="H39" i="32" s="1"/>
  <c r="D27" i="32"/>
  <c r="F27" i="32" s="1"/>
  <c r="G27" i="32" s="1"/>
  <c r="H27" i="32" s="1"/>
  <c r="D26" i="32"/>
  <c r="D46" i="32"/>
  <c r="F46" i="32" s="1"/>
  <c r="G46" i="32" s="1"/>
  <c r="H46" i="32" s="1"/>
  <c r="D30" i="32"/>
  <c r="C91" i="32" s="1"/>
  <c r="C105" i="32" s="1"/>
  <c r="D43" i="32"/>
  <c r="F43" i="32" s="1"/>
  <c r="G43" i="32" s="1"/>
  <c r="H43" i="32" s="1"/>
  <c r="D48" i="32"/>
  <c r="K48" i="32" s="1"/>
  <c r="D35" i="32"/>
  <c r="K35" i="32" s="1"/>
  <c r="D28" i="32"/>
  <c r="F28" i="32" s="1"/>
  <c r="G28" i="32" s="1"/>
  <c r="H28" i="32" s="1"/>
  <c r="D24" i="32"/>
  <c r="K24" i="32" s="1"/>
  <c r="D23" i="32"/>
  <c r="K23" i="32" s="1"/>
  <c r="D41" i="32"/>
  <c r="F41" i="32" s="1"/>
  <c r="G41" i="32" s="1"/>
  <c r="H41" i="32" s="1"/>
  <c r="D38" i="32"/>
  <c r="K38" i="32" s="1"/>
  <c r="C16" i="32"/>
  <c r="H8" i="32" s="1"/>
  <c r="D45" i="32"/>
  <c r="F45" i="32" s="1"/>
  <c r="G45" i="32" s="1"/>
  <c r="H45" i="32" s="1"/>
  <c r="D34" i="32"/>
  <c r="K34" i="32" s="1"/>
  <c r="K25" i="32"/>
  <c r="D37" i="32"/>
  <c r="F37" i="32" s="1"/>
  <c r="G37" i="32" s="1"/>
  <c r="H37" i="32" s="1"/>
  <c r="K49" i="32"/>
  <c r="I46" i="32"/>
  <c r="O2" i="28"/>
  <c r="L2" i="28"/>
  <c r="L12" i="28" s="1"/>
  <c r="I43" i="32"/>
  <c r="O6" i="30"/>
  <c r="L6" i="31"/>
  <c r="P6" i="31" s="1"/>
  <c r="T6" i="30"/>
  <c r="S6" i="29"/>
  <c r="K6" i="30"/>
  <c r="P4" i="28"/>
  <c r="K44" i="28"/>
  <c r="K46" i="28" s="1"/>
  <c r="K47" i="28" s="1"/>
  <c r="L44" i="28"/>
  <c r="L46" i="28" s="1"/>
  <c r="L47" i="28" s="1"/>
  <c r="M44" i="28"/>
  <c r="M46" i="28" s="1"/>
  <c r="M47" i="28" s="1"/>
  <c r="N44" i="28"/>
  <c r="N46" i="28" s="1"/>
  <c r="N47" i="28" s="1"/>
  <c r="N37" i="28"/>
  <c r="N39" i="28" s="1"/>
  <c r="N40" i="28" s="1"/>
  <c r="P5" i="28"/>
  <c r="K37" i="28"/>
  <c r="K39" i="28" s="1"/>
  <c r="K40" i="28" s="1"/>
  <c r="L39" i="28"/>
  <c r="L40" i="28" s="1"/>
  <c r="M37" i="28"/>
  <c r="M39" i="28" s="1"/>
  <c r="M40" i="28" s="1"/>
  <c r="L10" i="29"/>
  <c r="P10" i="29" s="1"/>
  <c r="T10" i="28"/>
  <c r="O10" i="28"/>
  <c r="S10" i="25"/>
  <c r="K10" i="28"/>
  <c r="S8" i="28"/>
  <c r="K8" i="29"/>
  <c r="S9" i="28"/>
  <c r="K9" i="29"/>
  <c r="L9" i="30"/>
  <c r="P9" i="30" s="1"/>
  <c r="T9" i="29"/>
  <c r="O9" i="29"/>
  <c r="O8" i="29"/>
  <c r="L8" i="30"/>
  <c r="P8" i="30" s="1"/>
  <c r="T8" i="29"/>
  <c r="B38" i="18" a="1"/>
  <c r="B38" i="18" s="1"/>
  <c r="B37" i="18" a="1"/>
  <c r="B37" i="18" s="1"/>
  <c r="B36" i="19" a="1"/>
  <c r="B36" i="19" s="1"/>
  <c r="B36" i="9" a="1"/>
  <c r="B36" i="9" s="1"/>
  <c r="B41" i="9" s="1"/>
  <c r="K18" i="17" s="1"/>
  <c r="B35" i="7" a="1"/>
  <c r="B35" i="7" s="1"/>
  <c r="B38" i="8" a="1"/>
  <c r="B38" i="8" s="1"/>
  <c r="B38" i="7" a="1"/>
  <c r="B38" i="7" s="1"/>
  <c r="B37" i="7" a="1"/>
  <c r="B37" i="7" s="1"/>
  <c r="B39" i="7" a="1"/>
  <c r="B39" i="7" s="1"/>
  <c r="B38" i="20" a="1"/>
  <c r="B38" i="20" s="1"/>
  <c r="B37" i="8" a="1"/>
  <c r="B37" i="8" s="1"/>
  <c r="B35" i="8" a="1"/>
  <c r="B35" i="8" s="1"/>
  <c r="B36" i="8" a="1"/>
  <c r="B36" i="8" s="1"/>
  <c r="B37" i="20" a="1"/>
  <c r="B37" i="20" s="1"/>
  <c r="B36" i="20" a="1"/>
  <c r="B36" i="20" s="1"/>
  <c r="B35" i="20" a="1"/>
  <c r="B35" i="20" s="1"/>
  <c r="B39" i="19" a="1"/>
  <c r="B39" i="19" s="1"/>
  <c r="B38" i="19" a="1"/>
  <c r="B38" i="19" s="1"/>
  <c r="B37" i="19" a="1"/>
  <c r="B37" i="19" s="1"/>
  <c r="P12" i="25"/>
  <c r="T5" i="25"/>
  <c r="O5" i="25"/>
  <c r="O4" i="25"/>
  <c r="K4" i="28" s="1"/>
  <c r="T4" i="25"/>
  <c r="S12" i="21"/>
  <c r="B37" i="17"/>
  <c r="D37" i="17"/>
  <c r="D36" i="17"/>
  <c r="B36" i="17"/>
  <c r="C37" i="17"/>
  <c r="D38" i="17"/>
  <c r="B38" i="17"/>
  <c r="C36" i="17"/>
  <c r="C96" i="32" l="1"/>
  <c r="C110" i="32" s="1"/>
  <c r="F30" i="32"/>
  <c r="G30" i="32" s="1"/>
  <c r="H30" i="32" s="1"/>
  <c r="F31" i="32"/>
  <c r="G31" i="32" s="1"/>
  <c r="H31" i="32" s="1"/>
  <c r="E35" i="17"/>
  <c r="C35" i="17" s="1"/>
  <c r="K47" i="32"/>
  <c r="F36" i="32"/>
  <c r="G36" i="32" s="1"/>
  <c r="H36" i="32" s="1"/>
  <c r="K30" i="32"/>
  <c r="L7" i="31"/>
  <c r="O7" i="31"/>
  <c r="F34" i="32"/>
  <c r="G34" i="32" s="1"/>
  <c r="H34" i="32" s="1"/>
  <c r="C90" i="32"/>
  <c r="C104" i="32" s="1"/>
  <c r="K37" i="32"/>
  <c r="C94" i="32"/>
  <c r="C108" i="32" s="1"/>
  <c r="K33" i="32"/>
  <c r="F48" i="32"/>
  <c r="G48" i="32" s="1"/>
  <c r="H48" i="32" s="1"/>
  <c r="F32" i="32"/>
  <c r="G32" i="32" s="1"/>
  <c r="H32" i="32" s="1"/>
  <c r="C89" i="32"/>
  <c r="C103" i="32" s="1"/>
  <c r="F24" i="32"/>
  <c r="G24" i="32" s="1"/>
  <c r="H24" i="32" s="1"/>
  <c r="C93" i="32"/>
  <c r="C107" i="32" s="1"/>
  <c r="F23" i="32"/>
  <c r="D93" i="32" s="1"/>
  <c r="F29" i="32"/>
  <c r="G29" i="32" s="1"/>
  <c r="H29" i="32" s="1"/>
  <c r="F38" i="32"/>
  <c r="G38" i="32" s="1"/>
  <c r="H38" i="32" s="1"/>
  <c r="C95" i="32"/>
  <c r="C109" i="32" s="1"/>
  <c r="I47" i="32"/>
  <c r="K39" i="32"/>
  <c r="K28" i="32"/>
  <c r="I32" i="32"/>
  <c r="K26" i="32"/>
  <c r="C13" i="32"/>
  <c r="K27" i="32"/>
  <c r="I30" i="32"/>
  <c r="I39" i="32"/>
  <c r="I28" i="32"/>
  <c r="I27" i="32"/>
  <c r="I37" i="32"/>
  <c r="C14" i="32"/>
  <c r="H5" i="32" s="1"/>
  <c r="I26" i="32"/>
  <c r="I36" i="32"/>
  <c r="F35" i="32"/>
  <c r="G35" i="32" s="1"/>
  <c r="H35" i="32" s="1"/>
  <c r="I31" i="32"/>
  <c r="I25" i="32"/>
  <c r="F26" i="32"/>
  <c r="G26" i="32" s="1"/>
  <c r="H26" i="32" s="1"/>
  <c r="I34" i="32"/>
  <c r="I33" i="32"/>
  <c r="I24" i="32"/>
  <c r="C92" i="32"/>
  <c r="C106" i="32" s="1"/>
  <c r="I48" i="32"/>
  <c r="I29" i="32"/>
  <c r="I23" i="32"/>
  <c r="D50" i="32"/>
  <c r="I35" i="32"/>
  <c r="I38" i="32"/>
  <c r="T12" i="25"/>
  <c r="D91" i="32"/>
  <c r="O10" i="29"/>
  <c r="L10" i="30"/>
  <c r="P10" i="30" s="1"/>
  <c r="T10" i="29"/>
  <c r="G47" i="32"/>
  <c r="H47" i="32" s="1"/>
  <c r="D96" i="32"/>
  <c r="G40" i="32"/>
  <c r="H40" i="32" s="1"/>
  <c r="D13" i="32"/>
  <c r="J49" i="32"/>
  <c r="S8" i="29"/>
  <c r="K8" i="30"/>
  <c r="S9" i="29"/>
  <c r="K9" i="30"/>
  <c r="T4" i="28"/>
  <c r="L4" i="29"/>
  <c r="O4" i="28"/>
  <c r="L8" i="31"/>
  <c r="P8" i="31" s="1"/>
  <c r="O8" i="30"/>
  <c r="T8" i="30"/>
  <c r="L9" i="31"/>
  <c r="P9" i="31" s="1"/>
  <c r="T9" i="30"/>
  <c r="O9" i="30"/>
  <c r="L5" i="29"/>
  <c r="T5" i="28"/>
  <c r="O5" i="28"/>
  <c r="O6" i="31"/>
  <c r="T6" i="31"/>
  <c r="K2" i="29"/>
  <c r="P2" i="28"/>
  <c r="S2" i="28"/>
  <c r="S5" i="25"/>
  <c r="K5" i="28"/>
  <c r="K12" i="28" s="1"/>
  <c r="S6" i="30"/>
  <c r="K6" i="31"/>
  <c r="G33" i="32"/>
  <c r="H33" i="32" s="1"/>
  <c r="S10" i="28"/>
  <c r="K10" i="29"/>
  <c r="B41" i="18"/>
  <c r="K13" i="17" s="1"/>
  <c r="E30" i="17" s="1"/>
  <c r="B41" i="19"/>
  <c r="K14" i="17" s="1"/>
  <c r="E31" i="17" s="1"/>
  <c r="B41" i="7"/>
  <c r="K17" i="17" s="1"/>
  <c r="E34" i="17" s="1"/>
  <c r="B41" i="20"/>
  <c r="K15" i="17" s="1"/>
  <c r="E32" i="17" s="1"/>
  <c r="B41" i="8"/>
  <c r="K16" i="17" s="1"/>
  <c r="E33" i="17" s="1"/>
  <c r="S4" i="25"/>
  <c r="O12" i="25"/>
  <c r="D90" i="32" l="1"/>
  <c r="D35" i="17"/>
  <c r="B35" i="17"/>
  <c r="D94" i="32"/>
  <c r="P7" i="31"/>
  <c r="T7" i="31" s="1"/>
  <c r="S7" i="31"/>
  <c r="G23" i="32"/>
  <c r="D89" i="32"/>
  <c r="D95" i="32"/>
  <c r="J34" i="32"/>
  <c r="J37" i="32"/>
  <c r="B82" i="32"/>
  <c r="B80" i="32"/>
  <c r="C15" i="32"/>
  <c r="C19" i="32" s="1"/>
  <c r="J8" i="32" s="1"/>
  <c r="B76" i="32"/>
  <c r="J35" i="32"/>
  <c r="B77" i="32"/>
  <c r="J47" i="32"/>
  <c r="B83" i="32"/>
  <c r="C76" i="32"/>
  <c r="J39" i="32"/>
  <c r="J24" i="32"/>
  <c r="C77" i="32"/>
  <c r="J27" i="32"/>
  <c r="J33" i="32"/>
  <c r="C80" i="32"/>
  <c r="J23" i="32"/>
  <c r="C83" i="32"/>
  <c r="J29" i="32"/>
  <c r="J36" i="32"/>
  <c r="B75" i="32"/>
  <c r="C74" i="32"/>
  <c r="J28" i="32"/>
  <c r="J38" i="32"/>
  <c r="J48" i="32"/>
  <c r="C75" i="32"/>
  <c r="B79" i="32"/>
  <c r="F5" i="32"/>
  <c r="B78" i="32"/>
  <c r="F50" i="32"/>
  <c r="J25" i="32"/>
  <c r="B81" i="32"/>
  <c r="C78" i="32"/>
  <c r="J32" i="32"/>
  <c r="C81" i="32"/>
  <c r="C79" i="32"/>
  <c r="J30" i="32"/>
  <c r="J26" i="32"/>
  <c r="C102" i="32"/>
  <c r="J31" i="32"/>
  <c r="C82" i="32"/>
  <c r="B74" i="32"/>
  <c r="C18" i="32"/>
  <c r="D92" i="32"/>
  <c r="C63" i="32"/>
  <c r="G70" i="32" s="1"/>
  <c r="D14" i="32"/>
  <c r="E14" i="32" s="1"/>
  <c r="O12" i="28"/>
  <c r="N44" i="29"/>
  <c r="P4" i="29"/>
  <c r="M44" i="29"/>
  <c r="K44" i="29"/>
  <c r="L44" i="29"/>
  <c r="L37" i="29"/>
  <c r="K37" i="29"/>
  <c r="P5" i="29"/>
  <c r="N37" i="29"/>
  <c r="M37" i="29"/>
  <c r="S12" i="25"/>
  <c r="H23" i="32"/>
  <c r="H50" i="32" s="1"/>
  <c r="G50" i="32"/>
  <c r="E13" i="32"/>
  <c r="S9" i="30"/>
  <c r="K9" i="31"/>
  <c r="P12" i="28"/>
  <c r="T2" i="28"/>
  <c r="T12" i="28" s="1"/>
  <c r="T9" i="31"/>
  <c r="O9" i="31"/>
  <c r="L2" i="29"/>
  <c r="L12" i="29" s="1"/>
  <c r="O2" i="29"/>
  <c r="L10" i="31"/>
  <c r="P10" i="31" s="1"/>
  <c r="O10" i="30"/>
  <c r="T10" i="30"/>
  <c r="S8" i="30"/>
  <c r="K8" i="31"/>
  <c r="S10" i="29"/>
  <c r="K10" i="30"/>
  <c r="S6" i="31"/>
  <c r="O8" i="31"/>
  <c r="T8" i="31"/>
  <c r="S5" i="28"/>
  <c r="K5" i="29"/>
  <c r="S4" i="28"/>
  <c r="K4" i="29"/>
  <c r="C33" i="17"/>
  <c r="D33" i="17"/>
  <c r="B33" i="17"/>
  <c r="B32" i="17"/>
  <c r="D32" i="17"/>
  <c r="C32" i="17"/>
  <c r="D34" i="17"/>
  <c r="B34" i="17"/>
  <c r="C34" i="17"/>
  <c r="D31" i="17"/>
  <c r="B31" i="17"/>
  <c r="C31" i="17"/>
  <c r="K23" i="17"/>
  <c r="C30" i="17"/>
  <c r="E40" i="17"/>
  <c r="B30" i="17"/>
  <c r="D30" i="17"/>
  <c r="C111" i="32" l="1"/>
  <c r="J5" i="32"/>
  <c r="C17" i="32"/>
  <c r="F8" i="32" s="1"/>
  <c r="D68" i="32"/>
  <c r="D66" i="32"/>
  <c r="C69" i="32"/>
  <c r="E66" i="32"/>
  <c r="E68" i="32"/>
  <c r="D70" i="32"/>
  <c r="E67" i="32"/>
  <c r="S8" i="31"/>
  <c r="C68" i="32"/>
  <c r="F67" i="32"/>
  <c r="G69" i="32"/>
  <c r="G66" i="32"/>
  <c r="D69" i="32"/>
  <c r="C66" i="32"/>
  <c r="C67" i="32"/>
  <c r="C70" i="32"/>
  <c r="G67" i="32"/>
  <c r="S12" i="28"/>
  <c r="K12" i="29"/>
  <c r="E69" i="32"/>
  <c r="F68" i="32"/>
  <c r="F66" i="32"/>
  <c r="D15" i="32"/>
  <c r="D19" i="32" s="1"/>
  <c r="E19" i="32" s="1"/>
  <c r="D67" i="32"/>
  <c r="F70" i="32"/>
  <c r="F69" i="32"/>
  <c r="G68" i="32"/>
  <c r="E70" i="32"/>
  <c r="S9" i="31"/>
  <c r="S10" i="30"/>
  <c r="K10" i="31"/>
  <c r="T10" i="31"/>
  <c r="O10" i="31"/>
  <c r="P2" i="29"/>
  <c r="K2" i="30"/>
  <c r="S2" i="29"/>
  <c r="T5" i="29"/>
  <c r="L5" i="30"/>
  <c r="O5" i="29"/>
  <c r="O4" i="29"/>
  <c r="L4" i="30"/>
  <c r="T4" i="29"/>
  <c r="D40" i="17"/>
  <c r="C40" i="17"/>
  <c r="B40" i="17"/>
  <c r="S10" i="31" l="1"/>
  <c r="E15" i="32"/>
  <c r="D16" i="32"/>
  <c r="D18" i="32" s="1"/>
  <c r="E18" i="32" s="1"/>
  <c r="D17" i="32"/>
  <c r="E17" i="32" s="1"/>
  <c r="L37" i="30"/>
  <c r="K37" i="30"/>
  <c r="P5" i="30"/>
  <c r="N37" i="30"/>
  <c r="M37" i="30"/>
  <c r="K4" i="30"/>
  <c r="S4" i="29"/>
  <c r="S5" i="29"/>
  <c r="K5" i="30"/>
  <c r="T2" i="29"/>
  <c r="T12" i="29" s="1"/>
  <c r="P12" i="29"/>
  <c r="O12" i="29"/>
  <c r="E16" i="32"/>
  <c r="L2" i="30"/>
  <c r="L12" i="30" s="1"/>
  <c r="O2" i="30"/>
  <c r="N44" i="30"/>
  <c r="P4" i="30"/>
  <c r="K44" i="30"/>
  <c r="L44" i="30"/>
  <c r="M44" i="30"/>
  <c r="K12" i="30" l="1"/>
  <c r="S12" i="29"/>
  <c r="O4" i="30"/>
  <c r="L4" i="31"/>
  <c r="T4" i="30"/>
  <c r="K2" i="31"/>
  <c r="P2" i="30"/>
  <c r="S2" i="30"/>
  <c r="T5" i="30"/>
  <c r="L5" i="31"/>
  <c r="O5" i="30"/>
  <c r="S5" i="30" l="1"/>
  <c r="K5" i="31"/>
  <c r="O12" i="30"/>
  <c r="P12" i="30"/>
  <c r="T2" i="30"/>
  <c r="T12" i="30" s="1"/>
  <c r="K44" i="31"/>
  <c r="P4" i="31"/>
  <c r="L44" i="31"/>
  <c r="M44" i="31"/>
  <c r="N44" i="31"/>
  <c r="M37" i="31"/>
  <c r="N37" i="31"/>
  <c r="L37" i="31"/>
  <c r="K37" i="31"/>
  <c r="P5" i="31"/>
  <c r="O2" i="31"/>
  <c r="L2" i="31"/>
  <c r="L12" i="31" s="1"/>
  <c r="S4" i="30"/>
  <c r="K4" i="31"/>
  <c r="S12" i="30" l="1"/>
  <c r="K12" i="31"/>
  <c r="O4" i="31"/>
  <c r="S4" i="31" s="1"/>
  <c r="T4" i="31"/>
  <c r="P2" i="31"/>
  <c r="S2" i="31"/>
  <c r="T5" i="31"/>
  <c r="O5" i="31"/>
  <c r="S5" i="31" s="1"/>
  <c r="S12" i="31" l="1"/>
  <c r="O12" i="31"/>
  <c r="T2" i="31"/>
  <c r="T12" i="31" s="1"/>
  <c r="P1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María Victoria Duarte</author>
  </authors>
  <commentList>
    <comment ref="C16" authorId="0" shapeId="0" xr:uid="{72D8FD71-A37F-4E8A-8604-960A1771625B}">
      <text>
        <r>
          <rPr>
            <b/>
            <sz val="9"/>
            <color indexed="81"/>
            <rFont val="Tahoma"/>
            <charset val="1"/>
          </rPr>
          <t>María Victoria Duarte:</t>
        </r>
        <r>
          <rPr>
            <sz val="9"/>
            <color indexed="81"/>
            <rFont val="Tahoma"/>
            <charset val="1"/>
          </rPr>
          <t xml:space="preserve">
Suma solo las salidas de dinero hacia "Inversiones FCI" y "Ahorros/inversiones" en cada hoja mensual (columna Gastos). No se puede leer del neto porque las transferencias a FCI se registran de ida y vuelta y se cancelan.</t>
        </r>
      </text>
    </comment>
    <comment ref="D16" authorId="0" shapeId="0" xr:uid="{6F009CBC-345D-4CED-8C6B-4E371F45982D}">
      <text>
        <r>
          <rPr>
            <b/>
            <sz val="9"/>
            <color indexed="81"/>
            <rFont val="Tahoma"/>
            <charset val="1"/>
          </rPr>
          <t>María Victoria Duarte:</t>
        </r>
        <r>
          <rPr>
            <sz val="9"/>
            <color indexed="81"/>
            <rFont val="Tahoma"/>
            <charset val="1"/>
          </rPr>
          <t xml:space="preserve">
Supone que todo el flujo extra que libera el escenario se destina a ahorro/inversión.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<sst xmlns="http://schemas.openxmlformats.org/spreadsheetml/2006/main" count="2669" uniqueCount="493">
  <si>
    <t>Mes</t>
  </si>
  <si>
    <t>abril</t>
  </si>
  <si>
    <t>Sebastián Villegas</t>
  </si>
  <si>
    <t>Tipo</t>
  </si>
  <si>
    <t>María Laura Rodriguez</t>
  </si>
  <si>
    <t>Consultantes</t>
  </si>
  <si>
    <t>Sol Vasquez</t>
  </si>
  <si>
    <t>Karen Ayala</t>
  </si>
  <si>
    <t>Josefina Castellari</t>
  </si>
  <si>
    <t>Layla Crossetto</t>
  </si>
  <si>
    <t>enero</t>
  </si>
  <si>
    <t>febrero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</si>
  <si>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</si>
  <si>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</si>
  <si>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</si>
  <si>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</si>
  <si>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</si>
  <si>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</si>
  <si>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</si>
  <si>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</si>
  <si>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</si>
  <si>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lunes</t>
  </si>
  <si>
    <t>martes</t>
  </si>
  <si>
    <t>miércoles</t>
  </si>
  <si>
    <t>jueves</t>
  </si>
  <si>
    <t>viernes</t>
  </si>
  <si>
    <t>sábado</t>
  </si>
  <si>
    <t>domingo</t>
  </si>
  <si>
    <t>Lara Grandi</t>
  </si>
  <si>
    <t>Única</t>
  </si>
  <si>
    <t>N°</t>
  </si>
  <si>
    <t>Si</t>
  </si>
  <si>
    <t>No</t>
  </si>
  <si>
    <t>Sabrina Acuña</t>
  </si>
  <si>
    <t>Yuliana Lipari</t>
  </si>
  <si>
    <t>semana 1</t>
  </si>
  <si>
    <t>semana 2</t>
  </si>
  <si>
    <t>semana 3</t>
  </si>
  <si>
    <t>semana 4</t>
  </si>
  <si>
    <t>semana 5</t>
  </si>
  <si>
    <t>07:00 - 07:30</t>
  </si>
  <si>
    <t>07:30 - 08:00</t>
  </si>
  <si>
    <t>08:00 - 08:30</t>
  </si>
  <si>
    <t>08:30 - 09:00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</si>
  <si>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</si>
  <si>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</si>
  <si>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</si>
  <si>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</si>
  <si>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</si>
  <si>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</si>
  <si>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</si>
  <si>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</si>
  <si>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</si>
  <si>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</si>
  <si>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</si>
  <si>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</si>
  <si>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</si>
  <si>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</si>
  <si>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</si>
  <si>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</si>
  <si>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</si>
  <si>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</si>
  <si>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</si>
  <si>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</si>
  <si>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</si>
  <si>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09:00 - 09:30</t>
  </si>
  <si>
    <t>09:30 - 10:00</t>
  </si>
  <si>
    <t>Rocío Díaz</t>
  </si>
  <si>
    <t>Nicolás Horvat</t>
  </si>
  <si>
    <t>Ingresos</t>
  </si>
  <si>
    <t>Honorarios</t>
  </si>
  <si>
    <t>Activo?</t>
  </si>
  <si>
    <t>Abandonó</t>
  </si>
  <si>
    <t>Valor sesión</t>
  </si>
  <si>
    <t>Semana</t>
  </si>
  <si>
    <t>Cobrado?</t>
  </si>
  <si>
    <t>Ingreso mensual</t>
  </si>
  <si>
    <t>N° Sesión</t>
  </si>
  <si>
    <t>Año</t>
  </si>
  <si>
    <t>Monto</t>
  </si>
  <si>
    <t>Cant. Semanas</t>
  </si>
  <si>
    <t>Cant. Sesiones</t>
  </si>
  <si>
    <t>Total</t>
  </si>
  <si>
    <t>Puesto</t>
  </si>
  <si>
    <t>Valor hora</t>
  </si>
  <si>
    <t>Cantidad de horas</t>
  </si>
  <si>
    <t>Pasante 1</t>
  </si>
  <si>
    <t>Pasante 2</t>
  </si>
  <si>
    <t>Pasante 3</t>
  </si>
  <si>
    <t>Junior 1</t>
  </si>
  <si>
    <t>Junior 2</t>
  </si>
  <si>
    <t>Junior 3</t>
  </si>
  <si>
    <t>Senior 1</t>
  </si>
  <si>
    <t>Senior 2</t>
  </si>
  <si>
    <t>Senior 3</t>
  </si>
  <si>
    <t>GP1</t>
  </si>
  <si>
    <t>GP2</t>
  </si>
  <si>
    <t>GP3</t>
  </si>
  <si>
    <t>Valor hora sistema</t>
  </si>
  <si>
    <t>Honorarios sistema</t>
  </si>
  <si>
    <t>Honorarios Dep</t>
  </si>
  <si>
    <t>Lidia Soto</t>
  </si>
  <si>
    <t>Jenifer Silioni</t>
  </si>
  <si>
    <t>Valentina Zabrieszach</t>
  </si>
  <si>
    <t>Bono</t>
  </si>
  <si>
    <t>Aguinaldo</t>
  </si>
  <si>
    <t>Promedio hs</t>
  </si>
  <si>
    <t>Remuneración</t>
  </si>
  <si>
    <t>Cta. Comitente Petrini</t>
  </si>
  <si>
    <t>Caja de seguridad</t>
  </si>
  <si>
    <t>Regalo recibida</t>
  </si>
  <si>
    <t>USD</t>
  </si>
  <si>
    <t>ARS</t>
  </si>
  <si>
    <t>Tc</t>
  </si>
  <si>
    <t>Mercado Pago</t>
  </si>
  <si>
    <t>Superfondos Santander</t>
  </si>
  <si>
    <t>Mercado Libre</t>
  </si>
  <si>
    <t>Brubank</t>
  </si>
  <si>
    <t>Efectivo</t>
  </si>
  <si>
    <t>Tenencia - Inicio</t>
  </si>
  <si>
    <t>Tenencia - Fin</t>
  </si>
  <si>
    <t>Fecha</t>
  </si>
  <si>
    <t>Gastos</t>
  </si>
  <si>
    <t>Concepto</t>
  </si>
  <si>
    <t>Año:</t>
  </si>
  <si>
    <t>Mes:</t>
  </si>
  <si>
    <t>Cantidad de días:</t>
  </si>
  <si>
    <t>Compra</t>
  </si>
  <si>
    <t>Venta</t>
  </si>
  <si>
    <t>Descripción</t>
  </si>
  <si>
    <t>Caja de Ahorro Santander (ARS)</t>
  </si>
  <si>
    <t>Caja de Ahorro Santander (USD)</t>
  </si>
  <si>
    <t>Nro.</t>
  </si>
  <si>
    <t>Transferencia IM</t>
  </si>
  <si>
    <t>Coca cena Sofi H</t>
  </si>
  <si>
    <t>Cochera</t>
  </si>
  <si>
    <t>Pago Claude/Cursor</t>
  </si>
  <si>
    <t>Auto</t>
  </si>
  <si>
    <t>Farmacia/Cosméticos</t>
  </si>
  <si>
    <t>Ropa</t>
  </si>
  <si>
    <t>Súper</t>
  </si>
  <si>
    <t>Delivery</t>
  </si>
  <si>
    <t>Comida cena Sofi H</t>
  </si>
  <si>
    <t>Origen/Destino</t>
  </si>
  <si>
    <t>Dev. Lomito Sofi H</t>
  </si>
  <si>
    <t>Estacionamiento Chacana</t>
  </si>
  <si>
    <t>Desayuno Cielo Cherry Season</t>
  </si>
  <si>
    <t>Merienda Parce IM, CA, IP</t>
  </si>
  <si>
    <t>Dev. Isa Parce</t>
  </si>
  <si>
    <t>Regalos</t>
  </si>
  <si>
    <t>Entradas fiestas/conciertos</t>
  </si>
  <si>
    <t>Salidas a cenar/almorzar</t>
  </si>
  <si>
    <t>Salidas a desyunar/merendar</t>
  </si>
  <si>
    <t>Salidas a tomar algo</t>
  </si>
  <si>
    <t>Fiestas</t>
  </si>
  <si>
    <t>Datos del periodo</t>
  </si>
  <si>
    <t>Conceptos de gastos/ingresos</t>
  </si>
  <si>
    <t>Pago de honorarios Axis</t>
  </si>
  <si>
    <t>Pago de honorarios Quantum</t>
  </si>
  <si>
    <t>Otros honorarios</t>
  </si>
  <si>
    <t>Orígenes/destinos gastos e ingresos</t>
  </si>
  <si>
    <t>Cochera cumple Sofi H</t>
  </si>
  <si>
    <t>Semáforo</t>
  </si>
  <si>
    <t>Acumulado ingresos</t>
  </si>
  <si>
    <t>Dev. Cielo Parce</t>
  </si>
  <si>
    <t>Rescates FCI</t>
  </si>
  <si>
    <t>Inversiones FCI</t>
  </si>
  <si>
    <t>Ahorros/inversiones</t>
  </si>
  <si>
    <t>Rescate p invertir en Petrini</t>
  </si>
  <si>
    <t>Transferencia a Petrini</t>
  </si>
  <si>
    <t>Acumulado egresos</t>
  </si>
  <si>
    <t>Análisis gastos e ingresos</t>
  </si>
  <si>
    <t>Composición egresos</t>
  </si>
  <si>
    <t>Composición ingresos</t>
  </si>
  <si>
    <t>Rescate p comprar USD p pagar tarjeta de crédito</t>
  </si>
  <si>
    <t>Pago tarjetas de crédito</t>
  </si>
  <si>
    <t>Pago VISA ARS</t>
  </si>
  <si>
    <t>Compra USD para pago VISA y AMEX USD</t>
  </si>
  <si>
    <t>Semana 1 mes de julio</t>
  </si>
  <si>
    <t>Movimientos en ARS</t>
  </si>
  <si>
    <t>Compra/venta USD</t>
  </si>
  <si>
    <t>Compra USD p pagar tarjetas</t>
  </si>
  <si>
    <t>Pago tarjetas</t>
  </si>
  <si>
    <t>Calculado</t>
  </si>
  <si>
    <t>Real</t>
  </si>
  <si>
    <t>Rendimiento (neto)</t>
  </si>
  <si>
    <t>Rendimiento (%)</t>
  </si>
  <si>
    <t>Monotributo</t>
  </si>
  <si>
    <t>Devolución IA</t>
  </si>
  <si>
    <t>Quantum</t>
  </si>
  <si>
    <t>Axis</t>
  </si>
  <si>
    <t>Otros</t>
  </si>
  <si>
    <t>Cuidado casa IM</t>
  </si>
  <si>
    <t>todos</t>
  </si>
  <si>
    <t>Cant. Horas</t>
  </si>
  <si>
    <t>Petrini</t>
  </si>
  <si>
    <t>Tenencia calculada</t>
  </si>
  <si>
    <t>Tenencia real</t>
  </si>
  <si>
    <t>Diferencia</t>
  </si>
  <si>
    <t>Compra S&amp;P 500 y fondo CER</t>
  </si>
  <si>
    <t>Lucía Larrea</t>
  </si>
  <si>
    <t>Gimnasio</t>
  </si>
  <si>
    <t>Psicóloga</t>
  </si>
  <si>
    <t>Julio</t>
  </si>
  <si>
    <t>Saldo ARS AMEX</t>
  </si>
  <si>
    <t>Natalia Duca</t>
  </si>
  <si>
    <t>Cena primos</t>
  </si>
  <si>
    <t xml:space="preserve">Hielo </t>
  </si>
  <si>
    <t>Medialunas</t>
  </si>
  <si>
    <t>Regalo padres</t>
  </si>
  <si>
    <t>Semana 2 julio</t>
  </si>
  <si>
    <t>La Celeste partido Arg</t>
  </si>
  <si>
    <t>Desayuno Sofia</t>
  </si>
  <si>
    <t>Transf Desayuno Sofia</t>
  </si>
  <si>
    <t>Pago interés por saldo en cuenta</t>
  </si>
  <si>
    <t>3k con las chicas Q</t>
  </si>
  <si>
    <t>3k con las chicas Q - propina</t>
  </si>
  <si>
    <t>Almuerzo Bros Igna</t>
  </si>
  <si>
    <t>Café trabajo MV</t>
  </si>
  <si>
    <t>Almuerzo final mundial Brana</t>
  </si>
  <si>
    <t>Semana 3 julio</t>
  </si>
  <si>
    <t>Pago monotributo</t>
  </si>
  <si>
    <t>regalo jopi</t>
  </si>
  <si>
    <t>café shopping</t>
  </si>
  <si>
    <t>Rescate p pagar psico</t>
  </si>
  <si>
    <t>2da sesión julio psico</t>
  </si>
  <si>
    <t>1ra sesión julio psico</t>
  </si>
  <si>
    <t>Transf Lu regalo Co</t>
  </si>
  <si>
    <t>Transf Fede regalo Co</t>
  </si>
  <si>
    <t>Transf Joaco regalo Co</t>
  </si>
  <si>
    <t>Telas e insumos p costura</t>
  </si>
  <si>
    <t>Telas sastrero</t>
  </si>
  <si>
    <t>Hilo, portacarreteles, tijera</t>
  </si>
  <si>
    <t>Estacionamiento centro</t>
  </si>
  <si>
    <t>Cerveza tresca</t>
  </si>
  <si>
    <t>semana 4 julio</t>
  </si>
  <si>
    <t>Rescate p finde</t>
  </si>
  <si>
    <t>Vino Francis</t>
  </si>
  <si>
    <t>Transferencia So</t>
  </si>
  <si>
    <t>Transferencia Cielo</t>
  </si>
  <si>
    <t>Transferencia Cielo entrada Boticario</t>
  </si>
  <si>
    <t>Gohan sábado al mediodía</t>
  </si>
  <si>
    <t>Budín Bra</t>
  </si>
  <si>
    <t>Farmacity</t>
  </si>
  <si>
    <t>Nafta</t>
  </si>
  <si>
    <t>Reintegro julio</t>
  </si>
  <si>
    <t>Propina</t>
  </si>
  <si>
    <t>Cepillo de dientes NB</t>
  </si>
  <si>
    <t>Helado cremolatti</t>
  </si>
  <si>
    <t>Sueldo julio</t>
  </si>
  <si>
    <t>Transferencias Jo</t>
  </si>
  <si>
    <t>prestamo salida</t>
  </si>
  <si>
    <t>Torta hábito</t>
  </si>
  <si>
    <t>Tresca sofias</t>
  </si>
  <si>
    <t>Semana 5 julio</t>
  </si>
  <si>
    <t>Devolución So H tresca</t>
  </si>
  <si>
    <t>Devolución Igna Std</t>
  </si>
  <si>
    <t>Suscripción sueldo julio</t>
  </si>
  <si>
    <t>Chequeo batería</t>
  </si>
  <si>
    <t>Milena Albiero</t>
  </si>
  <si>
    <t>Lavado auto</t>
  </si>
  <si>
    <t>Edición 1: La cocina rica rica de Pacho</t>
  </si>
  <si>
    <t>Tampones</t>
  </si>
  <si>
    <t>Burgers Igna</t>
  </si>
  <si>
    <t>Dev burgers Igna</t>
  </si>
  <si>
    <t>Luciano Carrizo</t>
  </si>
  <si>
    <t>1ra sesión agosto psico</t>
  </si>
  <si>
    <t>Vino cena Nacho</t>
  </si>
  <si>
    <t>Celular</t>
  </si>
  <si>
    <t>Compra datos</t>
  </si>
  <si>
    <t>Rescate p psico</t>
  </si>
  <si>
    <t>Lomitos 348</t>
  </si>
  <si>
    <t xml:space="preserve">Compras SMP </t>
  </si>
  <si>
    <t>Devolucion LCP</t>
  </si>
  <si>
    <t>Semana 1 agosto</t>
  </si>
  <si>
    <t>Pago Igna IA</t>
  </si>
  <si>
    <t>Rescat p pagar tarjetas</t>
  </si>
  <si>
    <t>Compra USD p tarjetas</t>
  </si>
  <si>
    <t>Pago AMEX ARS</t>
  </si>
  <si>
    <t>Pago VISA USD</t>
  </si>
  <si>
    <t>Pago AMEX USD</t>
  </si>
  <si>
    <t>Compra USD para pagos tarjetas de crédito</t>
  </si>
  <si>
    <t>Valentina De Nardo</t>
  </si>
  <si>
    <t>Dev Jose</t>
  </si>
  <si>
    <t>Nafta Pa</t>
  </si>
  <si>
    <t>Cena Agus</t>
  </si>
  <si>
    <t>Transf IM primer pago MV (md)</t>
  </si>
  <si>
    <t>Primer pago MV (md)</t>
  </si>
  <si>
    <t>Suscripción honorarios md</t>
  </si>
  <si>
    <t>Delivery padres</t>
  </si>
  <si>
    <t>Sushi cena chicas Q</t>
  </si>
  <si>
    <t>Vino cena chicas Q</t>
  </si>
  <si>
    <t>Cochera cena chicas Q</t>
  </si>
  <si>
    <t>Jangadero</t>
  </si>
  <si>
    <t>Semana 2 agosto</t>
  </si>
  <si>
    <t>Almuerzo Igna sábado</t>
  </si>
  <si>
    <t>Juntadas a cenar/almorzar</t>
  </si>
  <si>
    <t>Juntadas a desayunar/merendar</t>
  </si>
  <si>
    <t>Asado domingo</t>
  </si>
  <si>
    <t>Asado domingo super</t>
  </si>
  <si>
    <t>Asado domingo carbón</t>
  </si>
  <si>
    <t>Devoluc. Igna asado</t>
  </si>
  <si>
    <t>Panchos NB</t>
  </si>
  <si>
    <t>Rescate p pagar monotributo</t>
  </si>
  <si>
    <t>Transf a MP</t>
  </si>
  <si>
    <t>Transf desde santander</t>
  </si>
  <si>
    <t>Transferencias regalo IM</t>
  </si>
  <si>
    <t>Entrada IM</t>
  </si>
  <si>
    <t>Rescate p regalo IM</t>
  </si>
  <si>
    <t>Transf Bra copas cie</t>
  </si>
  <si>
    <t>Sesión perdida</t>
  </si>
  <si>
    <t>Entrada terrafuria</t>
  </si>
  <si>
    <t>Rescate</t>
  </si>
  <si>
    <t>Fernet jangadero</t>
  </si>
  <si>
    <t>Transf IM sorpresit</t>
  </si>
  <si>
    <t>Semana 3 agosto</t>
  </si>
  <si>
    <t>Prestamo Jo</t>
  </si>
  <si>
    <t>Churros</t>
  </si>
  <si>
    <t>Cochera jangadero</t>
  </si>
  <si>
    <t>Propina el cuadrado</t>
  </si>
  <si>
    <t>Inversión lunes 24/8</t>
  </si>
  <si>
    <t>Roll de canela</t>
  </si>
  <si>
    <t>Reintegro OS</t>
  </si>
  <si>
    <t>Fechas sesiones</t>
  </si>
  <si>
    <t>Transf para hamburguesas</t>
  </si>
  <si>
    <t>Hamburguesas</t>
  </si>
  <si>
    <t>Psico</t>
  </si>
  <si>
    <t>Gastos por semana y concepto — Julio 2026</t>
  </si>
  <si>
    <t>Importes en ARS, mostrados en positivo. Fuente: 'Gastos julio'!D24:D99 (gastos), F (concepto), H (fecha).</t>
  </si>
  <si>
    <t>Sem 1</t>
  </si>
  <si>
    <t>Sem 2</t>
  </si>
  <si>
    <t>Sem 3</t>
  </si>
  <si>
    <t>Sem 4</t>
  </si>
  <si>
    <t>Sem 5</t>
  </si>
  <si>
    <t>Total mes</t>
  </si>
  <si>
    <t>Desde</t>
  </si>
  <si>
    <t>Hasta</t>
  </si>
  <si>
    <t>Movimientos internos / financieros</t>
  </si>
  <si>
    <t>Total movimientos internos</t>
  </si>
  <si>
    <t>TOTAL GENERAL</t>
  </si>
  <si>
    <t>Control: total gastos julio (columna D)</t>
  </si>
  <si>
    <t>Diferencia vs. total general (debe ser 0)</t>
  </si>
  <si>
    <t>Gastos fuera del rango de julio (fecha inválida)</t>
  </si>
  <si>
    <t>Reintegros / devoluciones recibidas (columna C de 'Gastos julio')</t>
  </si>
  <si>
    <t>Total reintegros</t>
  </si>
  <si>
    <t>GASTO NETO por semana (bruto − reintegros)</t>
  </si>
  <si>
    <t>Total gasto neto</t>
  </si>
  <si>
    <t>Total gastos corrientes (bruto)</t>
  </si>
  <si>
    <t>Nota: un neto negativo indica que el reintegro recibido supera el gasto registrado con ese concepto (ej. Regalos: llegaron $67.500 por 'regalo Co' pero el desembolso no está cargado como Regalos; y en Delivery hay un reintegro de $30.000 rotulado 'Regalo padres').</t>
  </si>
  <si>
    <t>Gastos por semana y concepto — Agosto 2026</t>
  </si>
  <si>
    <t>Importes en ARS, mostrados en positivo. Fuente: 'Gastos agosto'!D24:D110 (gastos), F (concepto), H (fecha). Mes parcial: datos hasta el 26/08.</t>
  </si>
  <si>
    <t>Control: total gastos agosto (columna D)</t>
  </si>
  <si>
    <t>Gastos fuera del rango del mes (fecha inválida)</t>
  </si>
  <si>
    <t>Reintegros / devoluciones recibidas (columna C de 'Gastos agosto')</t>
  </si>
  <si>
    <t>Notas: (1) un neto negativo indica que el reintegro supera el gasto cargado con ese concepto (Regalos sem 3: entraron $30.000 'Delivery padres'; Transferencias Jo sem 3: $25.000 'Dev Jose'). (2) 'Pago tarjetas de crédito' mezcla ARS y USD en la misma columna (USD 37,14 y 9,99), por eso ese total no es 100% ARS. (3) Agosto es un mes parcial: último movimiento cargado 26/08.</t>
  </si>
  <si>
    <t>Consolidado de gastos e ingresos netos 2026 - Movimientos en ARS</t>
  </si>
  <si>
    <t>Total año</t>
  </si>
  <si>
    <t>Dashboard financiero 2026 - Análisis y simulación de escenarios</t>
  </si>
  <si>
    <t>Panel de control</t>
  </si>
  <si>
    <t>Período base</t>
  </si>
  <si>
    <t>Promedio meses cargados</t>
  </si>
  <si>
    <t>Meses con movimientos cargados</t>
  </si>
  <si>
    <t>Variación de honorarios (%)</t>
  </si>
  <si>
    <t>Reducción global de gastos (%)</t>
  </si>
  <si>
    <t>Simulador por concepto</t>
  </si>
  <si>
    <t>Neto mensual base</t>
  </si>
  <si>
    <t>% reducción</t>
  </si>
  <si>
    <t>Neto mensual simulado</t>
  </si>
  <si>
    <t>Impacto mensual</t>
  </si>
  <si>
    <t>Impacto anualizado</t>
  </si>
  <si>
    <t>% del gasto total</t>
  </si>
  <si>
    <t>Ranking gasto</t>
  </si>
  <si>
    <t>Aux magnitud</t>
  </si>
  <si>
    <t>Gasto</t>
  </si>
  <si>
    <t>Ingreso</t>
  </si>
  <si>
    <t>Ahorro/Inversión</t>
  </si>
  <si>
    <t>Neutro</t>
  </si>
  <si>
    <t>Resumen mensual - caso base vs. simulado</t>
  </si>
  <si>
    <t>Métrica</t>
  </si>
  <si>
    <t>Base</t>
  </si>
  <si>
    <t>Simulado</t>
  </si>
  <si>
    <t>Δ</t>
  </si>
  <si>
    <t>Ingresos por honorarios</t>
  </si>
  <si>
    <t>Gastos corrientes</t>
  </si>
  <si>
    <t>Flujo disponible (ingresos + gastos)</t>
  </si>
  <si>
    <t>Tasa de ahorro potencial (% honorarios)</t>
  </si>
  <si>
    <t>Tasa de ahorro efectiva (% honorarios)</t>
  </si>
  <si>
    <t>Flujo disponible anualizado (x12)</t>
  </si>
  <si>
    <t>Evolución mensual</t>
  </si>
  <si>
    <t>Flujo disponible</t>
  </si>
  <si>
    <t>Tasa de ahorro potencial</t>
  </si>
  <si>
    <t>Sensibilidad: tasa de ahorro potencial</t>
  </si>
  <si>
    <t>Gastos con ajustes individuales (sin reducción global)</t>
  </si>
  <si>
    <t>Reducción gastos ↓ / Var. honorarios →</t>
  </si>
  <si>
    <t>Top gastos por concepto (base mensual)</t>
  </si>
  <si>
    <t>Gasto mensual</t>
  </si>
  <si>
    <t>Ahorro/inversión efectivo (salidas reales)</t>
  </si>
  <si>
    <t>Celdas amarillas = supuestos editables. Columna "Tipo" y "% reducción" (azul) también son editables.</t>
  </si>
  <si>
    <t>Categoría</t>
  </si>
  <si>
    <t>Servicios y suscripciones</t>
  </si>
  <si>
    <t>Comidas y salidas</t>
  </si>
  <si>
    <t>Regalos y eventos</t>
  </si>
  <si>
    <t>Transporte</t>
  </si>
  <si>
    <t>Salud y bienestar</t>
  </si>
  <si>
    <t>Ropa y personal</t>
  </si>
  <si>
    <t>Hogar y súper</t>
  </si>
  <si>
    <t>Impuestos</t>
  </si>
  <si>
    <t>Datos para gráficos</t>
  </si>
  <si>
    <t>Gasto mensual base</t>
  </si>
  <si>
    <t>Gasto mensual simulado</t>
  </si>
  <si>
    <t>Cascada</t>
  </si>
  <si>
    <t>Honorarios / mes</t>
  </si>
  <si>
    <t>Gastos corrientes / mes</t>
  </si>
  <si>
    <t>Flujo disponible / mes</t>
  </si>
  <si>
    <t>Ahorro efectivo / mes</t>
  </si>
  <si>
    <t>Flujo anualizado</t>
  </si>
  <si>
    <t>Datos auxiliares para gráficos (agrupados)</t>
  </si>
  <si>
    <t>Dev IM Hamburguesas</t>
  </si>
  <si>
    <t>Dev IM IA</t>
  </si>
  <si>
    <t>Mascotas</t>
  </si>
  <si>
    <t>Cucha perritas</t>
  </si>
  <si>
    <t>Cierre e hilo</t>
  </si>
  <si>
    <t>Chocolate Nacho</t>
  </si>
  <si>
    <t>Lupulus</t>
  </si>
  <si>
    <t>Dev Sofia V Lupulus</t>
  </si>
  <si>
    <t>Dev Sofia H Lupulus</t>
  </si>
  <si>
    <t>Semana 4 agosto</t>
  </si>
  <si>
    <t>Entradas fiestas/conciertos/otros eventos</t>
  </si>
  <si>
    <t>Entradas música a ciegas</t>
  </si>
  <si>
    <t>Honorarios agosto</t>
  </si>
  <si>
    <t>Lavado auto Jo</t>
  </si>
  <si>
    <t>Suscripción honorarios agosto</t>
  </si>
  <si>
    <t>Sushi cielo y brana</t>
  </si>
  <si>
    <t>Cochera cena cielo y bra</t>
  </si>
  <si>
    <t>Panadería Cofico</t>
  </si>
  <si>
    <t>Corega tabs e hilo dental</t>
  </si>
  <si>
    <t>Devolución cucha</t>
  </si>
  <si>
    <t>Rescate p pagar tarjetas de crédito</t>
  </si>
  <si>
    <t>An Espil x2 entradas</t>
  </si>
  <si>
    <t>VISA ARS agosto</t>
  </si>
  <si>
    <t>Service charge y cuota 1 CR2027</t>
  </si>
  <si>
    <t>Tc (BNA)</t>
  </si>
  <si>
    <t>Programas terminados</t>
  </si>
  <si>
    <t>Programas abandonados</t>
  </si>
  <si>
    <t>Programas activos</t>
  </si>
  <si>
    <t>Sesiones aisladas</t>
  </si>
  <si>
    <t>Dev IM An Espil</t>
  </si>
  <si>
    <t>semana 1 septiembre</t>
  </si>
  <si>
    <t>Café viernes chacana</t>
  </si>
  <si>
    <t>Vermú música a ciegas</t>
  </si>
  <si>
    <t>Pimienta cena cielo y bra</t>
  </si>
  <si>
    <t xml:space="preserve">Helado </t>
  </si>
  <si>
    <t>Dev cielo helado</t>
  </si>
  <si>
    <t>Dev Igna Abril Olivera</t>
  </si>
  <si>
    <t>Entradas Abril Olivera</t>
  </si>
  <si>
    <t>Dev Cho Abril Olivera</t>
  </si>
  <si>
    <t>Cerveza Pez Volcán</t>
  </si>
  <si>
    <t>Transf a Igna Pez Volcán</t>
  </si>
  <si>
    <t>Coca almuerzo domingo</t>
  </si>
  <si>
    <t>Cochera pez volcán</t>
  </si>
  <si>
    <t>Sebastián Silva</t>
  </si>
  <si>
    <t>Burgers NB Dean and Dennys</t>
  </si>
  <si>
    <t>Sesión 1 sept</t>
  </si>
  <si>
    <t>Almuerzo Bros</t>
  </si>
  <si>
    <t>Liquido refrigerante</t>
  </si>
  <si>
    <t>Gohan miércoles zs</t>
  </si>
  <si>
    <t>Desyuno jueves zs</t>
  </si>
  <si>
    <t>Recate p pagar arreglo auto</t>
  </si>
  <si>
    <t>Arreglo auto</t>
  </si>
  <si>
    <t>Collar Mufasa</t>
  </si>
  <si>
    <t>Música a ciegas, In Rainbows</t>
  </si>
  <si>
    <t>Fernet Club Paraguay</t>
  </si>
  <si>
    <t>Desayuno sábado</t>
  </si>
  <si>
    <t>Risotto sábado</t>
  </si>
  <si>
    <t>Desyuno domingo</t>
  </si>
  <si>
    <t>semana 2 septiembre</t>
  </si>
  <si>
    <t>septiembre y octubre</t>
  </si>
  <si>
    <t>Regalo Chula</t>
  </si>
  <si>
    <t>Devolución regalo Chula</t>
  </si>
  <si>
    <t>Monotributo septiembre</t>
  </si>
  <si>
    <t>Compras varias</t>
  </si>
  <si>
    <t>Soporte notebook</t>
  </si>
  <si>
    <t>Préstamo JO</t>
  </si>
  <si>
    <t>Huevos</t>
  </si>
  <si>
    <t>Devolución huevos</t>
  </si>
  <si>
    <t>semana 3 septiembre</t>
  </si>
  <si>
    <t>Desayuno shiok</t>
  </si>
  <si>
    <t xml:space="preserve">Soporte celu y mascarillas </t>
  </si>
  <si>
    <t>Propina Al Malek</t>
  </si>
  <si>
    <t>Vinos asado Bra</t>
  </si>
  <si>
    <t>Desayuno Co</t>
  </si>
  <si>
    <t>Devolución arreglo auto</t>
  </si>
  <si>
    <t>Leches y chocolates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</si>
</sst>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&quot;$&quot;\ * #,##0.0_-;\-&quot;$&quot;\ * #,##0.0_-;_-&quot;$&quot;\ * &quot;-&quot;??_-;_-@_-"/>
    <numFmt numFmtId="166" formatCode="0.0%"/>
    <numFmt numFmtId="167" formatCode="_-&quot;$&quot;\ * #,##0.0_-;\-&quot;$&quot;\ * #,##0.0_-;_-&quot;$&quot;\ * &quot;-&quot;?_-;_-@_-"/>
    <numFmt numFmtId="168" formatCode="dd/mm"/>
    <numFmt numFmtId="169" formatCode="&quot;$&quot;#,##0;\(&quot;$&quot;#,##0\);&quot;-&quot;"/>
    <numFmt numFmtId="170" formatCode="_(&quot;$&quot;* #,##0.00_);_(&quot;$&quot;* \(#,##0.00\);_(&quot;$&quot;* &quot;-&quot;??_);_(@_)"/>
    <numFmt numFmtId="171" formatCode="&quot;$&quot;#,##0"/>
  </numFmts>
  <fonts count="4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9F2936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9"/>
      <color rgb="FF7F7F7F"/>
      <name val="Calibri"/>
      <family val="2"/>
      <scheme val="minor"/>
    </font>
    <font>
      <b/>
      <sz val="9"/>
      <color rgb="FFBFBFBF"/>
      <name val="Calibri"/>
      <family val="2"/>
      <scheme val="minor"/>
    </font>
    <font>
      <sz val="9"/>
      <color rgb="FFBFBFB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theme="1"/>
      <name val="Calibri"/>
      <family val="2"/>
      <scheme val="minor"/>
    </font>
    <font>
      <b/>
      <sz val="10"/>
      <color rgb="FF9F293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6"/>
      <color rgb="FF50141B"/>
      <name val="Calibri"/>
      <family val="2"/>
      <scheme val="minor"/>
    </font>
    <font>
      <b/>
      <sz val="16"/>
      <color rgb="FF9F2936"/>
      <name val="Calibri"/>
      <family val="2"/>
      <scheme val="minor"/>
    </font>
    <font>
      <b/>
      <sz val="16"/>
      <color rgb="FF4E8542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50141B"/>
        <bgColor indexed="64"/>
      </patternFill>
    </fill>
    <fill>
      <patternFill patternType="solid">
        <fgColor rgb="FF9F29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E8542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theme="4"/>
      </right>
      <top/>
      <bottom style="thin">
        <color theme="4"/>
      </bottom>
      <diagonal/>
    </border>
    <border>
      <left style="medium">
        <color auto="1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theme="4"/>
      </left>
      <right style="medium">
        <color auto="1"/>
      </right>
      <top/>
      <bottom/>
      <diagonal/>
    </border>
    <border>
      <left style="thin">
        <color theme="4"/>
      </left>
      <right style="medium">
        <color auto="1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auto="1"/>
      </top>
      <bottom/>
      <diagonal/>
    </border>
    <border>
      <left style="medium">
        <color auto="1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theme="3"/>
      </left>
      <right style="thin">
        <color theme="4"/>
      </right>
      <top style="thin">
        <color theme="4"/>
      </top>
      <bottom/>
      <diagonal/>
    </border>
    <border>
      <left style="medium">
        <color theme="3"/>
      </left>
      <right style="thin">
        <color theme="4"/>
      </right>
      <top/>
      <bottom style="thin">
        <color theme="4"/>
      </bottom>
      <diagonal/>
    </border>
    <border>
      <left/>
      <right/>
      <top/>
      <bottom style="medium">
        <color theme="5" tint="-0.499984740745262"/>
      </bottom>
      <diagonal/>
    </border>
    <border>
      <left/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medium">
        <color theme="6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/>
      <bottom style="medium">
        <color theme="8" tint="0.39994506668294322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/>
      <top/>
      <bottom style="medium">
        <color theme="7" tint="-0.24994659260841701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theme="1"/>
      </left>
      <right style="thin">
        <color theme="4"/>
      </right>
      <top style="thin">
        <color theme="4"/>
      </top>
      <bottom/>
      <diagonal/>
    </border>
    <border>
      <left style="medium">
        <color theme="1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medium">
        <color theme="1"/>
      </right>
      <top style="thin">
        <color theme="4"/>
      </top>
      <bottom/>
      <diagonal/>
    </border>
    <border>
      <left style="thin">
        <color theme="4"/>
      </left>
      <right style="medium">
        <color theme="1"/>
      </right>
      <top/>
      <bottom style="thin">
        <color theme="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3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44" fontId="0" fillId="0" borderId="0" xfId="1" applyFont="1"/>
    <xf numFmtId="3" fontId="0" fillId="0" borderId="0" xfId="0" applyNumberForma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left"/>
    </xf>
    <xf numFmtId="165" fontId="0" fillId="0" borderId="0" xfId="1" applyNumberFormat="1" applyFont="1" applyAlignment="1">
      <alignment horizontal="center"/>
    </xf>
    <xf numFmtId="0" fontId="0" fillId="0" borderId="3" xfId="0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64" fontId="7" fillId="0" borderId="0" xfId="1" applyNumberFormat="1" applyFont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center"/>
    </xf>
    <xf numFmtId="0" fontId="9" fillId="0" borderId="1" xfId="0" applyFont="1" applyBorder="1"/>
    <xf numFmtId="0" fontId="9" fillId="0" borderId="0" xfId="0" applyFont="1"/>
    <xf numFmtId="0" fontId="9" fillId="0" borderId="6" xfId="0" applyFont="1" applyBorder="1" applyAlignment="1">
      <alignment vertical="center"/>
    </xf>
    <xf numFmtId="0" fontId="9" fillId="0" borderId="2" xfId="0" applyFont="1" applyBorder="1"/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5" xfId="0" applyFont="1" applyBorder="1"/>
    <xf numFmtId="0" fontId="9" fillId="0" borderId="4" xfId="0" applyFont="1" applyBorder="1"/>
    <xf numFmtId="0" fontId="9" fillId="0" borderId="3" xfId="0" applyFont="1" applyBorder="1"/>
    <xf numFmtId="0" fontId="9" fillId="0" borderId="0" xfId="0" applyFont="1" applyAlignment="1">
      <alignment vertical="center" wrapText="1"/>
    </xf>
    <xf numFmtId="0" fontId="9" fillId="0" borderId="11" xfId="0" applyFont="1" applyBorder="1"/>
    <xf numFmtId="0" fontId="4" fillId="0" borderId="4" xfId="0" applyFont="1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3" fillId="4" borderId="19" xfId="0" applyFont="1" applyFill="1" applyBorder="1" applyAlignment="1">
      <alignment horizontal="center"/>
    </xf>
    <xf numFmtId="0" fontId="3" fillId="4" borderId="19" xfId="0" applyFont="1" applyFill="1" applyBorder="1"/>
    <xf numFmtId="0" fontId="0" fillId="0" borderId="0" xfId="2" applyNumberFormat="1" applyFont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0" xfId="2" applyNumberFormat="1" applyFont="1" applyFill="1" applyBorder="1" applyAlignment="1">
      <alignment horizontal="center"/>
    </xf>
    <xf numFmtId="44" fontId="8" fillId="0" borderId="20" xfId="1" applyFont="1" applyBorder="1" applyAlignment="1">
      <alignment horizontal="center"/>
    </xf>
    <xf numFmtId="0" fontId="8" fillId="0" borderId="0" xfId="0" applyFont="1" applyAlignment="1">
      <alignment horizontal="center"/>
    </xf>
    <xf numFmtId="44" fontId="8" fillId="0" borderId="0" xfId="1" applyFont="1" applyBorder="1" applyAlignment="1">
      <alignment horizontal="center"/>
    </xf>
    <xf numFmtId="0" fontId="8" fillId="0" borderId="0" xfId="2" applyNumberFormat="1" applyFont="1" applyFill="1" applyBorder="1" applyAlignment="1">
      <alignment horizontal="center"/>
    </xf>
    <xf numFmtId="164" fontId="8" fillId="0" borderId="0" xfId="0" applyNumberFormat="1" applyFont="1"/>
    <xf numFmtId="165" fontId="0" fillId="0" borderId="0" xfId="1" applyNumberFormat="1" applyFont="1" applyFill="1" applyAlignment="1">
      <alignment horizontal="center"/>
    </xf>
    <xf numFmtId="44" fontId="6" fillId="2" borderId="0" xfId="1" applyFont="1" applyFill="1"/>
    <xf numFmtId="165" fontId="8" fillId="3" borderId="20" xfId="0" applyNumberFormat="1" applyFont="1" applyFill="1" applyBorder="1"/>
    <xf numFmtId="0" fontId="5" fillId="0" borderId="0" xfId="0" applyFont="1" applyAlignment="1">
      <alignment horizontal="center"/>
    </xf>
    <xf numFmtId="0" fontId="0" fillId="0" borderId="11" xfId="0" applyBorder="1" applyAlignment="1">
      <alignment wrapText="1"/>
    </xf>
    <xf numFmtId="0" fontId="0" fillId="0" borderId="0" xfId="0" applyAlignment="1">
      <alignment horizontal="right"/>
    </xf>
    <xf numFmtId="2" fontId="0" fillId="0" borderId="0" xfId="0" applyNumberFormat="1"/>
    <xf numFmtId="44" fontId="0" fillId="0" borderId="0" xfId="0" applyNumberFormat="1"/>
    <xf numFmtId="0" fontId="10" fillId="0" borderId="4" xfId="0" applyFont="1" applyBorder="1"/>
    <xf numFmtId="0" fontId="4" fillId="0" borderId="4" xfId="0" applyFont="1" applyBorder="1"/>
    <xf numFmtId="44" fontId="11" fillId="0" borderId="0" xfId="1" applyFont="1" applyBorder="1" applyAlignment="1">
      <alignment horizontal="left"/>
    </xf>
    <xf numFmtId="44" fontId="10" fillId="0" borderId="0" xfId="1" applyFont="1" applyBorder="1"/>
    <xf numFmtId="44" fontId="0" fillId="0" borderId="0" xfId="1" applyFont="1" applyBorder="1" applyAlignment="1">
      <alignment horizontal="center"/>
    </xf>
    <xf numFmtId="14" fontId="0" fillId="0" borderId="2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26" xfId="0" applyBorder="1"/>
    <xf numFmtId="0" fontId="0" fillId="0" borderId="26" xfId="0" applyBorder="1" applyAlignment="1">
      <alignment horizontal="right"/>
    </xf>
    <xf numFmtId="0" fontId="0" fillId="0" borderId="25" xfId="0" applyBorder="1"/>
    <xf numFmtId="9" fontId="0" fillId="0" borderId="0" xfId="3" applyFont="1"/>
    <xf numFmtId="0" fontId="6" fillId="0" borderId="0" xfId="0" applyFont="1" applyAlignment="1">
      <alignment horizontal="center"/>
    </xf>
    <xf numFmtId="44" fontId="0" fillId="0" borderId="0" xfId="1" applyFont="1" applyBorder="1"/>
    <xf numFmtId="166" fontId="0" fillId="0" borderId="0" xfId="3" applyNumberFormat="1" applyFont="1" applyBorder="1"/>
    <xf numFmtId="9" fontId="0" fillId="0" borderId="0" xfId="3" applyFont="1" applyBorder="1"/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5" xfId="0" applyFont="1" applyBorder="1"/>
    <xf numFmtId="44" fontId="0" fillId="0" borderId="4" xfId="0" applyNumberFormat="1" applyBorder="1"/>
    <xf numFmtId="44" fontId="0" fillId="0" borderId="4" xfId="1" applyFont="1" applyBorder="1"/>
    <xf numFmtId="166" fontId="0" fillId="0" borderId="4" xfId="3" applyNumberFormat="1" applyFont="1" applyBorder="1"/>
    <xf numFmtId="9" fontId="0" fillId="0" borderId="4" xfId="3" applyFont="1" applyBorder="1"/>
    <xf numFmtId="14" fontId="12" fillId="0" borderId="0" xfId="0" applyNumberFormat="1" applyFont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44" fontId="0" fillId="0" borderId="2" xfId="0" applyNumberFormat="1" applyBorder="1"/>
    <xf numFmtId="10" fontId="0" fillId="0" borderId="4" xfId="3" applyNumberFormat="1" applyFont="1" applyBorder="1"/>
    <xf numFmtId="10" fontId="0" fillId="0" borderId="3" xfId="3" applyNumberFormat="1" applyFont="1" applyBorder="1"/>
    <xf numFmtId="0" fontId="4" fillId="0" borderId="0" xfId="2" applyNumberFormat="1" applyFont="1" applyAlignment="1">
      <alignment horizontal="center" vertical="center"/>
    </xf>
    <xf numFmtId="44" fontId="2" fillId="0" borderId="0" xfId="1" applyFont="1"/>
    <xf numFmtId="0" fontId="14" fillId="0" borderId="27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7" fillId="0" borderId="31" xfId="0" applyFont="1" applyBorder="1"/>
    <xf numFmtId="44" fontId="8" fillId="0" borderId="31" xfId="1" applyFont="1" applyBorder="1"/>
    <xf numFmtId="164" fontId="8" fillId="0" borderId="29" xfId="0" applyNumberFormat="1" applyFont="1" applyBorder="1"/>
    <xf numFmtId="0" fontId="16" fillId="0" borderId="32" xfId="0" applyFont="1" applyBorder="1" applyAlignment="1">
      <alignment horizontal="center"/>
    </xf>
    <xf numFmtId="43" fontId="2" fillId="0" borderId="0" xfId="2" applyFont="1"/>
    <xf numFmtId="0" fontId="4" fillId="0" borderId="33" xfId="0" applyFont="1" applyBorder="1" applyAlignment="1">
      <alignment horizontal="center"/>
    </xf>
    <xf numFmtId="44" fontId="4" fillId="0" borderId="33" xfId="1" applyFont="1" applyBorder="1" applyAlignment="1">
      <alignment horizontal="center"/>
    </xf>
    <xf numFmtId="0" fontId="4" fillId="0" borderId="34" xfId="0" applyFont="1" applyBorder="1"/>
    <xf numFmtId="44" fontId="4" fillId="0" borderId="34" xfId="0" applyNumberFormat="1" applyFont="1" applyBorder="1"/>
    <xf numFmtId="9" fontId="4" fillId="0" borderId="34" xfId="3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4" fontId="0" fillId="0" borderId="0" xfId="1" applyNumberFormat="1" applyFont="1" applyBorder="1" applyAlignment="1">
      <alignment horizontal="center"/>
    </xf>
    <xf numFmtId="0" fontId="4" fillId="0" borderId="38" xfId="0" applyFont="1" applyBorder="1"/>
    <xf numFmtId="0" fontId="4" fillId="0" borderId="39" xfId="0" applyFont="1" applyBorder="1"/>
    <xf numFmtId="0" fontId="3" fillId="4" borderId="40" xfId="0" applyFont="1" applyFill="1" applyBorder="1"/>
    <xf numFmtId="0" fontId="3" fillId="4" borderId="41" xfId="0" applyFont="1" applyFill="1" applyBorder="1" applyAlignment="1">
      <alignment horizontal="center"/>
    </xf>
    <xf numFmtId="0" fontId="3" fillId="4" borderId="42" xfId="0" applyFont="1" applyFill="1" applyBorder="1" applyAlignment="1">
      <alignment horizontal="center"/>
    </xf>
    <xf numFmtId="14" fontId="0" fillId="0" borderId="39" xfId="0" applyNumberFormat="1" applyBorder="1" applyAlignment="1">
      <alignment horizontal="left"/>
    </xf>
    <xf numFmtId="0" fontId="0" fillId="0" borderId="38" xfId="0" applyBorder="1"/>
    <xf numFmtId="44" fontId="0" fillId="0" borderId="26" xfId="1" applyFont="1" applyBorder="1"/>
    <xf numFmtId="0" fontId="3" fillId="6" borderId="43" xfId="0" applyFont="1" applyFill="1" applyBorder="1"/>
    <xf numFmtId="44" fontId="3" fillId="6" borderId="44" xfId="1" applyFont="1" applyFill="1" applyBorder="1"/>
    <xf numFmtId="44" fontId="3" fillId="6" borderId="45" xfId="1" applyFont="1" applyFill="1" applyBorder="1"/>
    <xf numFmtId="0" fontId="0" fillId="0" borderId="0" xfId="1" applyNumberFormat="1" applyFont="1" applyBorder="1"/>
    <xf numFmtId="0" fontId="3" fillId="0" borderId="6" xfId="0" applyFont="1" applyBorder="1" applyAlignment="1">
      <alignment horizontal="center"/>
    </xf>
    <xf numFmtId="14" fontId="0" fillId="0" borderId="46" xfId="0" applyNumberFormat="1" applyBorder="1" applyAlignment="1">
      <alignment horizontal="left"/>
    </xf>
    <xf numFmtId="44" fontId="0" fillId="0" borderId="6" xfId="1" applyFont="1" applyBorder="1"/>
    <xf numFmtId="44" fontId="0" fillId="0" borderId="47" xfId="1" applyFont="1" applyBorder="1"/>
    <xf numFmtId="0" fontId="0" fillId="0" borderId="21" xfId="0" applyBorder="1"/>
    <xf numFmtId="44" fontId="0" fillId="0" borderId="2" xfId="1" applyFont="1" applyBorder="1"/>
    <xf numFmtId="167" fontId="0" fillId="0" borderId="0" xfId="0" applyNumberFormat="1"/>
    <xf numFmtId="44" fontId="11" fillId="0" borderId="4" xfId="1" applyFont="1" applyBorder="1" applyAlignment="1">
      <alignment horizontal="left"/>
    </xf>
    <xf numFmtId="44" fontId="10" fillId="0" borderId="4" xfId="1" applyFont="1" applyBorder="1"/>
    <xf numFmtId="14" fontId="0" fillId="0" borderId="2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21" xfId="1" applyFont="1" applyBorder="1"/>
    <xf numFmtId="44" fontId="0" fillId="0" borderId="25" xfId="1" applyFont="1" applyBorder="1"/>
    <xf numFmtId="14" fontId="0" fillId="0" borderId="3" xfId="0" applyNumberFormat="1" applyBorder="1" applyAlignment="1">
      <alignment horizontal="center"/>
    </xf>
    <xf numFmtId="44" fontId="10" fillId="0" borderId="0" xfId="1" applyFont="1" applyFill="1" applyBorder="1"/>
    <xf numFmtId="14" fontId="0" fillId="0" borderId="0" xfId="0" applyNumberFormat="1" applyAlignment="1">
      <alignment horizontal="center"/>
    </xf>
    <xf numFmtId="14" fontId="7" fillId="0" borderId="0" xfId="0" applyNumberFormat="1" applyFont="1" applyAlignment="1">
      <alignment horizontal="center"/>
    </xf>
    <xf numFmtId="1" fontId="0" fillId="0" borderId="5" xfId="0" applyNumberFormat="1" applyBorder="1" applyAlignment="1">
      <alignment horizontal="center"/>
    </xf>
    <xf numFmtId="44" fontId="0" fillId="0" borderId="4" xfId="1" applyFont="1" applyBorder="1" applyAlignment="1">
      <alignment horizontal="center"/>
    </xf>
    <xf numFmtId="14" fontId="0" fillId="0" borderId="3" xfId="1" applyNumberFormat="1" applyFont="1" applyBorder="1" applyAlignment="1">
      <alignment horizontal="center"/>
    </xf>
    <xf numFmtId="0" fontId="18" fillId="0" borderId="0" xfId="0" applyFont="1"/>
    <xf numFmtId="0" fontId="19" fillId="0" borderId="0" xfId="0" applyFont="1"/>
    <xf numFmtId="0" fontId="20" fillId="11" borderId="0" xfId="0" applyFont="1" applyFill="1" applyAlignment="1">
      <alignment horizontal="center"/>
    </xf>
    <xf numFmtId="0" fontId="21" fillId="0" borderId="0" xfId="0" applyFont="1"/>
    <xf numFmtId="168" fontId="22" fillId="0" borderId="0" xfId="0" applyNumberFormat="1" applyFont="1" applyAlignment="1">
      <alignment horizont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169" fontId="0" fillId="0" borderId="0" xfId="0" applyNumberFormat="1"/>
    <xf numFmtId="169" fontId="25" fillId="0" borderId="0" xfId="0" applyNumberFormat="1" applyFont="1"/>
    <xf numFmtId="0" fontId="4" fillId="12" borderId="0" xfId="0" applyFont="1" applyFill="1"/>
    <xf numFmtId="169" fontId="4" fillId="12" borderId="0" xfId="0" applyNumberFormat="1" applyFont="1" applyFill="1"/>
    <xf numFmtId="0" fontId="4" fillId="0" borderId="52" xfId="0" applyFont="1" applyBorder="1"/>
    <xf numFmtId="169" fontId="4" fillId="0" borderId="52" xfId="0" applyNumberFormat="1" applyFont="1" applyBorder="1"/>
    <xf numFmtId="0" fontId="20" fillId="11" borderId="38" xfId="0" applyFont="1" applyFill="1" applyBorder="1" applyAlignment="1">
      <alignment horizontal="center"/>
    </xf>
    <xf numFmtId="169" fontId="0" fillId="0" borderId="38" xfId="0" applyNumberFormat="1" applyBorder="1"/>
    <xf numFmtId="169" fontId="4" fillId="0" borderId="36" xfId="0" applyNumberFormat="1" applyFont="1" applyBorder="1"/>
    <xf numFmtId="169" fontId="4" fillId="12" borderId="38" xfId="0" applyNumberFormat="1" applyFont="1" applyFill="1" applyBorder="1"/>
    <xf numFmtId="0" fontId="20" fillId="11" borderId="21" xfId="0" applyFont="1" applyFill="1" applyBorder="1"/>
    <xf numFmtId="0" fontId="20" fillId="11" borderId="21" xfId="0" applyFont="1" applyFill="1" applyBorder="1" applyAlignment="1">
      <alignment horizontal="center"/>
    </xf>
    <xf numFmtId="0" fontId="20" fillId="11" borderId="39" xfId="0" applyFont="1" applyFill="1" applyBorder="1" applyAlignment="1">
      <alignment horizontal="center"/>
    </xf>
    <xf numFmtId="0" fontId="20" fillId="11" borderId="0" xfId="0" applyFont="1" applyFill="1" applyAlignment="1">
      <alignment horizontal="left"/>
    </xf>
    <xf numFmtId="0" fontId="4" fillId="12" borderId="52" xfId="0" applyFont="1" applyFill="1" applyBorder="1"/>
    <xf numFmtId="169" fontId="4" fillId="12" borderId="52" xfId="0" applyNumberFormat="1" applyFont="1" applyFill="1" applyBorder="1"/>
    <xf numFmtId="169" fontId="4" fillId="12" borderId="36" xfId="0" applyNumberFormat="1" applyFont="1" applyFill="1" applyBorder="1"/>
    <xf numFmtId="0" fontId="20" fillId="11" borderId="21" xfId="0" applyFont="1" applyFill="1" applyBorder="1" applyAlignment="1">
      <alignment horizontal="left"/>
    </xf>
    <xf numFmtId="0" fontId="26" fillId="0" borderId="0" xfId="0" applyFont="1" applyAlignment="1">
      <alignment horizontal="center"/>
    </xf>
    <xf numFmtId="0" fontId="20" fillId="14" borderId="0" xfId="0" applyFont="1" applyFill="1"/>
    <xf numFmtId="0" fontId="26" fillId="0" borderId="54" xfId="0" applyFont="1" applyBorder="1" applyAlignment="1">
      <alignment horizontal="center"/>
    </xf>
    <xf numFmtId="0" fontId="26" fillId="0" borderId="55" xfId="0" applyFont="1" applyBorder="1" applyAlignment="1">
      <alignment horizontal="center"/>
    </xf>
    <xf numFmtId="0" fontId="26" fillId="0" borderId="56" xfId="0" applyFont="1" applyBorder="1" applyAlignment="1">
      <alignment horizontal="center"/>
    </xf>
    <xf numFmtId="0" fontId="27" fillId="0" borderId="57" xfId="0" applyFont="1" applyBorder="1"/>
    <xf numFmtId="170" fontId="4" fillId="0" borderId="59" xfId="0" applyNumberFormat="1" applyFont="1" applyBorder="1"/>
    <xf numFmtId="0" fontId="20" fillId="14" borderId="60" xfId="0" applyFont="1" applyFill="1" applyBorder="1"/>
    <xf numFmtId="170" fontId="20" fillId="14" borderId="61" xfId="0" applyNumberFormat="1" applyFont="1" applyFill="1" applyBorder="1"/>
    <xf numFmtId="0" fontId="26" fillId="0" borderId="53" xfId="0" applyFont="1" applyBorder="1" applyAlignment="1">
      <alignment horizontal="center"/>
    </xf>
    <xf numFmtId="0" fontId="26" fillId="0" borderId="66" xfId="0" applyFont="1" applyBorder="1" applyAlignment="1">
      <alignment horizontal="center"/>
    </xf>
    <xf numFmtId="0" fontId="26" fillId="0" borderId="67" xfId="0" applyFont="1" applyBorder="1" applyAlignment="1">
      <alignment horizontal="center"/>
    </xf>
    <xf numFmtId="0" fontId="20" fillId="14" borderId="53" xfId="0" applyFont="1" applyFill="1" applyBorder="1"/>
    <xf numFmtId="170" fontId="20" fillId="14" borderId="66" xfId="0" applyNumberFormat="1" applyFont="1" applyFill="1" applyBorder="1"/>
    <xf numFmtId="170" fontId="20" fillId="14" borderId="67" xfId="0" applyNumberFormat="1" applyFont="1" applyFill="1" applyBorder="1"/>
    <xf numFmtId="0" fontId="8" fillId="0" borderId="63" xfId="0" applyFont="1" applyBorder="1"/>
    <xf numFmtId="0" fontId="8" fillId="0" borderId="57" xfId="0" applyFont="1" applyBorder="1"/>
    <xf numFmtId="0" fontId="8" fillId="0" borderId="68" xfId="0" applyFont="1" applyBorder="1"/>
    <xf numFmtId="170" fontId="28" fillId="0" borderId="64" xfId="0" applyNumberFormat="1" applyFont="1" applyBorder="1"/>
    <xf numFmtId="170" fontId="29" fillId="0" borderId="65" xfId="0" applyNumberFormat="1" applyFont="1" applyBorder="1"/>
    <xf numFmtId="170" fontId="28" fillId="0" borderId="58" xfId="0" applyNumberFormat="1" applyFont="1" applyBorder="1"/>
    <xf numFmtId="170" fontId="29" fillId="0" borderId="59" xfId="0" applyNumberFormat="1" applyFont="1" applyBorder="1"/>
    <xf numFmtId="170" fontId="28" fillId="0" borderId="69" xfId="0" applyNumberFormat="1" applyFont="1" applyBorder="1"/>
    <xf numFmtId="170" fontId="29" fillId="0" borderId="70" xfId="0" applyNumberFormat="1" applyFont="1" applyBorder="1"/>
    <xf numFmtId="0" fontId="31" fillId="0" borderId="0" xfId="0" applyFont="1"/>
    <xf numFmtId="170" fontId="0" fillId="0" borderId="0" xfId="0" applyNumberFormat="1"/>
    <xf numFmtId="166" fontId="0" fillId="0" borderId="0" xfId="0" applyNumberFormat="1"/>
    <xf numFmtId="170" fontId="36" fillId="0" borderId="0" xfId="0" applyNumberFormat="1" applyFont="1"/>
    <xf numFmtId="0" fontId="4" fillId="0" borderId="57" xfId="0" applyFont="1" applyBorder="1"/>
    <xf numFmtId="170" fontId="0" fillId="0" borderId="58" xfId="0" applyNumberFormat="1" applyBorder="1"/>
    <xf numFmtId="170" fontId="0" fillId="0" borderId="59" xfId="0" applyNumberFormat="1" applyBorder="1"/>
    <xf numFmtId="170" fontId="4" fillId="0" borderId="58" xfId="0" applyNumberFormat="1" applyFont="1" applyBorder="1"/>
    <xf numFmtId="166" fontId="4" fillId="0" borderId="58" xfId="0" applyNumberFormat="1" applyFont="1" applyBorder="1"/>
    <xf numFmtId="166" fontId="4" fillId="0" borderId="59" xfId="0" applyNumberFormat="1" applyFont="1" applyBorder="1"/>
    <xf numFmtId="166" fontId="0" fillId="0" borderId="58" xfId="0" applyNumberFormat="1" applyBorder="1"/>
    <xf numFmtId="166" fontId="0" fillId="0" borderId="59" xfId="0" applyNumberFormat="1" applyBorder="1"/>
    <xf numFmtId="0" fontId="4" fillId="0" borderId="60" xfId="0" applyFont="1" applyBorder="1"/>
    <xf numFmtId="170" fontId="0" fillId="0" borderId="61" xfId="0" applyNumberFormat="1" applyBorder="1"/>
    <xf numFmtId="170" fontId="0" fillId="0" borderId="62" xfId="0" applyNumberFormat="1" applyBorder="1"/>
    <xf numFmtId="1" fontId="0" fillId="0" borderId="0" xfId="0" applyNumberFormat="1" applyAlignment="1">
      <alignment horizontal="center"/>
    </xf>
    <xf numFmtId="0" fontId="30" fillId="0" borderId="58" xfId="0" applyFont="1" applyBorder="1" applyAlignment="1">
      <alignment horizontal="center"/>
    </xf>
    <xf numFmtId="166" fontId="30" fillId="0" borderId="58" xfId="0" applyNumberFormat="1" applyFont="1" applyBorder="1" applyAlignment="1">
      <alignment horizontal="center"/>
    </xf>
    <xf numFmtId="166" fontId="0" fillId="0" borderId="58" xfId="0" applyNumberFormat="1" applyBorder="1" applyAlignment="1">
      <alignment horizontal="center"/>
    </xf>
    <xf numFmtId="1" fontId="0" fillId="0" borderId="58" xfId="0" applyNumberFormat="1" applyBorder="1" applyAlignment="1">
      <alignment horizontal="center"/>
    </xf>
    <xf numFmtId="0" fontId="0" fillId="14" borderId="61" xfId="0" applyFill="1" applyBorder="1"/>
    <xf numFmtId="0" fontId="0" fillId="0" borderId="62" xfId="0" applyBorder="1"/>
    <xf numFmtId="0" fontId="37" fillId="0" borderId="54" xfId="0" applyFont="1" applyBorder="1" applyAlignment="1">
      <alignment horizontal="center"/>
    </xf>
    <xf numFmtId="166" fontId="26" fillId="0" borderId="55" xfId="0" applyNumberFormat="1" applyFont="1" applyBorder="1" applyAlignment="1">
      <alignment horizontal="center"/>
    </xf>
    <xf numFmtId="166" fontId="26" fillId="0" borderId="56" xfId="0" applyNumberFormat="1" applyFont="1" applyBorder="1" applyAlignment="1">
      <alignment horizontal="center"/>
    </xf>
    <xf numFmtId="166" fontId="26" fillId="0" borderId="57" xfId="0" applyNumberFormat="1" applyFont="1" applyBorder="1" applyAlignment="1">
      <alignment horizontal="center"/>
    </xf>
    <xf numFmtId="166" fontId="0" fillId="0" borderId="59" xfId="0" applyNumberFormat="1" applyBorder="1" applyAlignment="1">
      <alignment horizontal="center"/>
    </xf>
    <xf numFmtId="166" fontId="26" fillId="0" borderId="60" xfId="0" applyNumberFormat="1" applyFont="1" applyBorder="1" applyAlignment="1">
      <alignment horizontal="center"/>
    </xf>
    <xf numFmtId="166" fontId="0" fillId="0" borderId="61" xfId="0" applyNumberFormat="1" applyBorder="1" applyAlignment="1">
      <alignment horizontal="center"/>
    </xf>
    <xf numFmtId="166" fontId="0" fillId="0" borderId="62" xfId="0" applyNumberFormat="1" applyBorder="1" applyAlignment="1">
      <alignment horizontal="center"/>
    </xf>
    <xf numFmtId="0" fontId="0" fillId="0" borderId="57" xfId="0" applyBorder="1"/>
    <xf numFmtId="0" fontId="0" fillId="0" borderId="60" xfId="0" applyBorder="1"/>
    <xf numFmtId="166" fontId="30" fillId="15" borderId="0" xfId="0" applyNumberFormat="1" applyFont="1" applyFill="1" applyAlignment="1">
      <alignment horizontal="center"/>
    </xf>
    <xf numFmtId="0" fontId="29" fillId="0" borderId="38" xfId="0" applyFont="1" applyBorder="1"/>
    <xf numFmtId="166" fontId="4" fillId="15" borderId="58" xfId="0" applyNumberFormat="1" applyFont="1" applyFill="1" applyBorder="1" applyAlignment="1">
      <alignment horizontal="center"/>
    </xf>
    <xf numFmtId="0" fontId="32" fillId="0" borderId="43" xfId="0" applyFont="1" applyBorder="1" applyAlignment="1">
      <alignment horizontal="center"/>
    </xf>
    <xf numFmtId="3" fontId="33" fillId="0" borderId="71" xfId="0" applyNumberFormat="1" applyFont="1" applyBorder="1"/>
    <xf numFmtId="0" fontId="26" fillId="0" borderId="72" xfId="0" applyFont="1" applyBorder="1" applyAlignment="1">
      <alignment horizontal="center"/>
    </xf>
    <xf numFmtId="0" fontId="30" fillId="0" borderId="73" xfId="0" applyFont="1" applyBorder="1" applyAlignment="1">
      <alignment horizontal="center"/>
    </xf>
    <xf numFmtId="0" fontId="30" fillId="0" borderId="74" xfId="0" applyFont="1" applyBorder="1" applyAlignment="1">
      <alignment horizontal="center"/>
    </xf>
    <xf numFmtId="170" fontId="4" fillId="0" borderId="0" xfId="0" applyNumberFormat="1" applyFont="1" applyAlignment="1">
      <alignment horizontal="center"/>
    </xf>
    <xf numFmtId="0" fontId="42" fillId="0" borderId="0" xfId="0" applyFont="1"/>
    <xf numFmtId="0" fontId="8" fillId="0" borderId="76" xfId="0" applyFont="1" applyBorder="1" applyAlignment="1">
      <alignment horizontal="left"/>
    </xf>
    <xf numFmtId="0" fontId="0" fillId="0" borderId="11" xfId="0" applyBorder="1"/>
    <xf numFmtId="0" fontId="8" fillId="0" borderId="77" xfId="0" applyFont="1" applyBorder="1" applyAlignment="1">
      <alignment horizontal="left"/>
    </xf>
    <xf numFmtId="0" fontId="3" fillId="4" borderId="75" xfId="0" applyFont="1" applyFill="1" applyBorder="1" applyAlignment="1">
      <alignment horizontal="left"/>
    </xf>
    <xf numFmtId="0" fontId="4" fillId="0" borderId="78" xfId="0" applyFont="1" applyBorder="1"/>
    <xf numFmtId="44" fontId="0" fillId="0" borderId="0" xfId="1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20" fillId="14" borderId="0" xfId="0" applyFont="1" applyFill="1"/>
    <xf numFmtId="0" fontId="30" fillId="15" borderId="0" xfId="0" applyFont="1" applyFill="1" applyAlignment="1">
      <alignment horizontal="left" wrapText="1"/>
    </xf>
    <xf numFmtId="0" fontId="38" fillId="13" borderId="0" xfId="0" applyFont="1" applyFill="1" applyAlignment="1">
      <alignment horizontal="center"/>
    </xf>
    <xf numFmtId="171" fontId="39" fillId="0" borderId="36" xfId="0" applyNumberFormat="1" applyFont="1" applyBorder="1" applyAlignment="1">
      <alignment horizontal="center" vertical="center"/>
    </xf>
    <xf numFmtId="0" fontId="39" fillId="0" borderId="52" xfId="0" applyFont="1" applyBorder="1" applyAlignment="1">
      <alignment horizontal="center" vertical="center"/>
    </xf>
    <xf numFmtId="0" fontId="39" fillId="0" borderId="39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38" fillId="14" borderId="0" xfId="0" applyFont="1" applyFill="1" applyAlignment="1">
      <alignment horizontal="center"/>
    </xf>
    <xf numFmtId="171" fontId="40" fillId="0" borderId="36" xfId="0" applyNumberFormat="1" applyFont="1" applyBorder="1" applyAlignment="1">
      <alignment horizontal="center" vertical="center"/>
    </xf>
    <xf numFmtId="0" fontId="40" fillId="0" borderId="52" xfId="0" applyFont="1" applyBorder="1" applyAlignment="1">
      <alignment horizontal="center" vertical="center"/>
    </xf>
    <xf numFmtId="0" fontId="40" fillId="0" borderId="39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38" fillId="13" borderId="52" xfId="0" applyFont="1" applyFill="1" applyBorder="1" applyAlignment="1">
      <alignment horizontal="center"/>
    </xf>
    <xf numFmtId="166" fontId="39" fillId="0" borderId="36" xfId="0" applyNumberFormat="1" applyFont="1" applyBorder="1" applyAlignment="1">
      <alignment horizontal="center" vertical="center"/>
    </xf>
    <xf numFmtId="0" fontId="38" fillId="14" borderId="52" xfId="0" applyFont="1" applyFill="1" applyBorder="1" applyAlignment="1">
      <alignment horizontal="center"/>
    </xf>
    <xf numFmtId="0" fontId="20" fillId="14" borderId="38" xfId="0" applyFont="1" applyFill="1" applyBorder="1"/>
    <xf numFmtId="0" fontId="38" fillId="16" borderId="0" xfId="0" applyFont="1" applyFill="1" applyAlignment="1">
      <alignment horizontal="center"/>
    </xf>
    <xf numFmtId="171" fontId="41" fillId="0" borderId="36" xfId="0" applyNumberFormat="1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38" fillId="16" borderId="52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49" xfId="0" applyBorder="1" applyAlignment="1">
      <alignment horizontal="center" wrapText="1"/>
    </xf>
    <xf numFmtId="0" fontId="0" fillId="0" borderId="50" xfId="0" applyBorder="1" applyAlignment="1">
      <alignment horizontal="center" wrapText="1"/>
    </xf>
    <xf numFmtId="0" fontId="0" fillId="0" borderId="51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3" fillId="7" borderId="0" xfId="0" applyFont="1" applyFill="1" applyAlignment="1">
      <alignment horizontal="center"/>
    </xf>
    <xf numFmtId="0" fontId="17" fillId="10" borderId="35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</cellXfs>
  <cellStyles count="4">
    <cellStyle name="Millares" xfId="2" builtinId="3"/>
    <cellStyle name="Moneda" xfId="1" builtinId="4"/>
    <cellStyle name="Normal" xfId="0" builtinId="0"/>
    <cellStyle name="Porcentaje" xfId="3" builtinId="5"/>
  </cellStyles>
  <dxfs count="117"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8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theme="7" tint="-0.24994659260841701"/>
      </font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rgb="FFD96A75"/>
      </font>
    </dxf>
    <dxf>
      <font>
        <b/>
        <i val="0"/>
        <color rgb="FF4E8542"/>
      </font>
    </dxf>
    <dxf>
      <font>
        <b/>
        <i val="0"/>
        <color rgb="FFD96A75"/>
      </font>
    </dxf>
    <dxf>
      <font>
        <b/>
        <i val="0"/>
        <color rgb="FF4E8542"/>
      </font>
    </dxf>
    <dxf>
      <font>
        <b/>
        <i val="0"/>
        <color rgb="FFD96A75"/>
      </font>
    </dxf>
    <dxf>
      <font>
        <b/>
        <i val="0"/>
        <color rgb="FF4E8542"/>
      </font>
    </dxf>
    <dxf>
      <font>
        <b/>
        <i val="0"/>
        <color rgb="FFD96A75"/>
      </font>
    </dxf>
    <dxf>
      <font>
        <b/>
        <i val="0"/>
        <color rgb="FF4E8542"/>
      </font>
    </dxf>
    <dxf>
      <font>
        <b/>
        <i val="0"/>
        <color rgb="FFD96A75"/>
      </font>
    </dxf>
    <dxf>
      <font>
        <b/>
        <i val="0"/>
        <color rgb="FF4E8542"/>
      </font>
    </dxf>
    <dxf>
      <font>
        <b/>
        <i val="0"/>
        <color rgb="FFFFC7CE"/>
      </font>
    </dxf>
    <dxf>
      <font>
        <b/>
        <i val="0"/>
        <color rgb="FFA9D18E"/>
      </font>
    </dxf>
    <dxf>
      <font>
        <b/>
        <i val="0"/>
        <color rgb="FFD96A75"/>
      </font>
    </dxf>
    <dxf>
      <font>
        <b/>
        <i val="0"/>
        <color rgb="FF4E8542"/>
      </font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gastos por concepto (mensual)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financiero'!$C$73</c:f>
              <c:strCache>
                <c:ptCount val="1"/>
                <c:pt idx="0">
                  <c:v>Gasto mensual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financiero'!$B$74:$B$83</c:f>
              <c:strCache>
                <c:ptCount val="10"/>
                <c:pt idx="0">
                  <c:v>Salidas a cenar/almorzar</c:v>
                </c:pt>
                <c:pt idx="1">
                  <c:v>Juntadas a cenar/almorzar</c:v>
                </c:pt>
                <c:pt idx="2">
                  <c:v>Auto</c:v>
                </c:pt>
                <c:pt idx="3">
                  <c:v>Entradas fiestas/conciertos/otros eventos</c:v>
                </c:pt>
                <c:pt idx="4">
                  <c:v>Gimnasio</c:v>
                </c:pt>
                <c:pt idx="5">
                  <c:v>Psicóloga</c:v>
                </c:pt>
                <c:pt idx="6">
                  <c:v>Salidas a desyunar/merendar</c:v>
                </c:pt>
                <c:pt idx="7">
                  <c:v>Salidas a tomar algo</c:v>
                </c:pt>
                <c:pt idx="8">
                  <c:v>Pago monotributo</c:v>
                </c:pt>
                <c:pt idx="9">
                  <c:v>Delivery</c:v>
                </c:pt>
              </c:strCache>
            </c:strRef>
          </c:cat>
          <c:val>
            <c:numRef>
              <c:f>'Dashboard financiero'!$C$74:$C$83</c:f>
              <c:numCache>
                <c:formatCode>_("$"* #,##0.00_);_("$"* \(#,##0.00\);_("$"* "-"??_);_(@_)</c:formatCode>
                <c:ptCount val="10"/>
                <c:pt idx="0">
                  <c:v>144786.91333333333</c:v>
                </c:pt>
                <c:pt idx="1">
                  <c:v>95250.156666666662</c:v>
                </c:pt>
                <c:pt idx="2">
                  <c:v>85866.666666666672</c:v>
                </c:pt>
                <c:pt idx="3">
                  <c:v>78030</c:v>
                </c:pt>
                <c:pt idx="4">
                  <c:v>75333.333333333328</c:v>
                </c:pt>
                <c:pt idx="5">
                  <c:v>68274.666666666672</c:v>
                </c:pt>
                <c:pt idx="6">
                  <c:v>63766.666666666664</c:v>
                </c:pt>
                <c:pt idx="7">
                  <c:v>60076.666666666664</c:v>
                </c:pt>
                <c:pt idx="8">
                  <c:v>51714.966666666674</c:v>
                </c:pt>
                <c:pt idx="9">
                  <c:v>29852.533333333336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F-4401-B8A2-27F8C28F9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7174288"/>
        <c:axId val="517176688"/>
      </c:barChart>
      <c:catAx>
        <c:axId val="51717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17176688"/>
        <c:crosses val="autoZero"/>
        <c:auto val="1"/>
        <c:lblAlgn val="ctr"/>
        <c:lblOffset val="100"/>
        <c:noMultiLvlLbl val="0"/>
      </c:catAx>
      <c:valAx>
        <c:axId val="51717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1717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Composición del gasto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F2-4AA6-8E23-7F1F46ADE7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F2-4AA6-8E23-7F1F46ADE7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F2-4AA6-8E23-7F1F46ADE7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F2-4AA6-8E23-7F1F46ADE7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F2-4AA6-8E23-7F1F46ADE7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F2-4AA6-8E23-7F1F46ADE71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5F2-4AA6-8E23-7F1F46ADE71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5F2-4AA6-8E23-7F1F46ADE71B}"/>
              </c:ext>
            </c:extLst>
          </c:dPt>
          <c:cat>
            <c:strRef>
              <c:f>'Dashboard financiero'!$B$89:$B$96</c:f>
              <c:strCache>
                <c:ptCount val="8"/>
                <c:pt idx="0">
                  <c:v>Comidas y salidas</c:v>
                </c:pt>
                <c:pt idx="1">
                  <c:v>Hogar y súper</c:v>
                </c:pt>
                <c:pt idx="2">
                  <c:v>Transporte</c:v>
                </c:pt>
                <c:pt idx="3">
                  <c:v>Salud y bienestar</c:v>
                </c:pt>
                <c:pt idx="4">
                  <c:v>Servicios y suscripciones</c:v>
                </c:pt>
                <c:pt idx="5">
                  <c:v>Ropa y personal</c:v>
                </c:pt>
                <c:pt idx="6">
                  <c:v>Regalos y eventos</c:v>
                </c:pt>
                <c:pt idx="7">
                  <c:v>Impuestos</c:v>
                </c:pt>
              </c:strCache>
            </c:strRef>
          </c:cat>
          <c:val>
            <c:numRef>
              <c:f>'Dashboard financiero'!$C$89:$C$96</c:f>
              <c:numCache>
                <c:formatCode>_("$"* #,##0.00_);_("$"* \(#,##0.00\);_("$"* "-"??_);_(@_)</c:formatCode>
                <c:ptCount val="8"/>
                <c:pt idx="0">
                  <c:v>393732.9366666667</c:v>
                </c:pt>
                <c:pt idx="1">
                  <c:v>11349.333333333334</c:v>
                </c:pt>
                <c:pt idx="2">
                  <c:v>85866.666666666672</c:v>
                </c:pt>
                <c:pt idx="3">
                  <c:v>164307.70666666667</c:v>
                </c:pt>
                <c:pt idx="4">
                  <c:v>-23050</c:v>
                </c:pt>
                <c:pt idx="5">
                  <c:v>11793.333333333334</c:v>
                </c:pt>
                <c:pt idx="6">
                  <c:v>86080</c:v>
                </c:pt>
                <c:pt idx="7">
                  <c:v>51714.966666666674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F-4DAF-B318-35C3C4A88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mensual: ingresos, gastos y flujo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financiero'!$B$55</c:f>
              <c:strCache>
                <c:ptCount val="1"/>
                <c:pt idx="0">
                  <c:v>Ingresos por honorarios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financiero'!$C$54:$H$54</c:f>
              <c:strCache>
                <c:ptCount val="6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</c:strCache>
            </c:strRef>
          </c:cat>
          <c:val>
            <c:numRef>
              <c:f>'Dashboard financiero'!$C$55:$H$55</c:f>
              <c:numCache>
                <c:formatCode>_("$"* #,##0.00_);_("$"* \(#,##0.00\);_("$"* "-"??_);_(@_)</c:formatCode>
                <c:ptCount val="6"/>
                <c:pt idx="0">
                  <c:v>2388047</c:v>
                </c:pt>
                <c:pt idx="1">
                  <c:v>2687951.1399999997</c:v>
                </c:pt>
                <c:pt idx="2">
                  <c:v>201000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C-49A0-BF71-FFC8BAC2B1F7}"/>
            </c:ext>
          </c:extLst>
        </c:ser>
        <c:ser>
          <c:idx val="1"/>
          <c:order val="1"/>
          <c:tx>
            <c:strRef>
              <c:f>'Dashboard financiero'!$B$56</c:f>
              <c:strCache>
                <c:ptCount val="1"/>
                <c:pt idx="0">
                  <c:v>Gastos corrientes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financiero'!$C$54:$H$54</c:f>
              <c:strCache>
                <c:ptCount val="6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</c:strCache>
            </c:strRef>
          </c:cat>
          <c:val>
            <c:numRef>
              <c:f>'Dashboard financiero'!$C$56:$H$56</c:f>
              <c:numCache>
                <c:formatCode>_("$"* #,##0.00_);_("$"* \(#,##0.00\);_("$"* "-"??_);_(@_)</c:formatCode>
                <c:ptCount val="6"/>
                <c:pt idx="0">
                  <c:v>633116.82999999996</c:v>
                </c:pt>
                <c:pt idx="1">
                  <c:v>787574.4</c:v>
                </c:pt>
                <c:pt idx="2">
                  <c:v>924693.6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C-49A0-BF71-FFC8BAC2B1F7}"/>
            </c:ext>
          </c:extLst>
        </c:ser>
        <c:ser>
          <c:idx val="2"/>
          <c:order val="2"/>
          <c:tx>
            <c:strRef>
              <c:f>'Dashboard financiero'!$B$57</c:f>
              <c:strCache>
                <c:ptCount val="1"/>
                <c:pt idx="0">
                  <c:v>Flujo disponible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financiero'!$C$54:$H$54</c:f>
              <c:strCache>
                <c:ptCount val="6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</c:strCache>
            </c:strRef>
          </c:cat>
          <c:val>
            <c:numRef>
              <c:f>'Dashboard financiero'!$C$57:$H$57</c:f>
              <c:numCache>
                <c:formatCode>_("$"* #,##0.00_);_("$"* \(#,##0.00\);_("$"* "-"??_);_(@_)</c:formatCode>
                <c:ptCount val="6"/>
                <c:pt idx="0">
                  <c:v>1754930.17</c:v>
                </c:pt>
                <c:pt idx="1">
                  <c:v>1900376.7399999998</c:v>
                </c:pt>
                <c:pt idx="2">
                  <c:v>-723693.6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EC-49A0-BF71-FFC8BAC2B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718416"/>
        <c:axId val="647715536"/>
      </c:barChart>
      <c:catAx>
        <c:axId val="64771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7715536"/>
        <c:crosses val="autoZero"/>
        <c:auto val="1"/>
        <c:lblAlgn val="ctr"/>
        <c:lblOffset val="100"/>
        <c:noMultiLvlLbl val="0"/>
      </c:catAx>
      <c:valAx>
        <c:axId val="6477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771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ahorro potencial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financiero'!$B$99</c:f>
              <c:strCache>
                <c:ptCount val="1"/>
                <c:pt idx="0">
                  <c:v>Tasa de ahorro potencial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financiero'!$C$98:$H$98</c:f>
              <c:strCache>
                <c:ptCount val="6"/>
                <c:pt idx="0">
                  <c:v> julio </c:v>
                </c:pt>
                <c:pt idx="1">
                  <c:v> agosto 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</c:strCache>
            </c:strRef>
          </c:cat>
          <c:val>
            <c:numRef>
              <c:f>'Dashboard financiero'!$C$99:$H$99</c:f>
              <c:numCache>
                <c:formatCode>0.0%</c:formatCode>
                <c:ptCount val="6"/>
                <c:pt idx="0">
                  <c:v>0.73488091733537908</c:v>
                </c:pt>
                <c:pt idx="1">
                  <c:v>0.70699824551126322</c:v>
                </c:pt>
                <c:pt idx="2">
                  <c:v>-3.6004656716417909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E0-415C-8D28-474BE3ECE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712656"/>
        <c:axId val="647711696"/>
      </c:lineChart>
      <c:catAx>
        <c:axId val="64771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7711696"/>
        <c:crosses val="autoZero"/>
        <c:auto val="1"/>
        <c:lblAlgn val="ctr"/>
        <c:lblOffset val="100"/>
        <c:noMultiLvlLbl val="0"/>
      </c:catAx>
      <c:valAx>
        <c:axId val="6477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771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 base vs. escenario simulado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financiero'!$C$12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financiero'!$B$13:$B$15</c:f>
              <c:strCache>
                <c:ptCount val="3"/>
                <c:pt idx="0">
                  <c:v>Ingresos por honorarios</c:v>
                </c:pt>
                <c:pt idx="1">
                  <c:v>Gastos corrientes</c:v>
                </c:pt>
                <c:pt idx="2">
                  <c:v>Flujo disponible (ingresos + gastos)</c:v>
                </c:pt>
              </c:strCache>
            </c:strRef>
          </c:cat>
          <c:val>
            <c:numRef>
              <c:f>'Dashboard financiero'!$C$13:$C$15</c:f>
              <c:numCache>
                <c:formatCode>_("$"* #,##0.00_);_("$"* \(#,##0.00\);_("$"* "-"??_);_(@_)</c:formatCode>
                <c:ptCount val="3"/>
                <c:pt idx="0">
                  <c:v>1758999.38</c:v>
                </c:pt>
                <c:pt idx="1">
                  <c:v>-781794.94333333336</c:v>
                </c:pt>
                <c:pt idx="2">
                  <c:v>977204.43666666653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9-4384-9E85-0D86B7223DF4}"/>
            </c:ext>
          </c:extLst>
        </c:ser>
        <c:ser>
          <c:idx val="1"/>
          <c:order val="1"/>
          <c:tx>
            <c:strRef>
              <c:f>'Dashboard financiero'!$D$12</c:f>
              <c:strCache>
                <c:ptCount val="1"/>
                <c:pt idx="0">
                  <c:v>Simulado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financiero'!$B$13:$B$15</c:f>
              <c:strCache>
                <c:ptCount val="3"/>
                <c:pt idx="0">
                  <c:v>Ingresos por honorarios</c:v>
                </c:pt>
                <c:pt idx="1">
                  <c:v>Gastos corrientes</c:v>
                </c:pt>
                <c:pt idx="2">
                  <c:v>Flujo disponible (ingresos + gastos)</c:v>
                </c:pt>
              </c:strCache>
            </c:strRef>
          </c:cat>
          <c:val>
            <c:numRef>
              <c:f>'Dashboard financiero'!$D$13:$D$15</c:f>
              <c:numCache>
                <c:formatCode>_("$"* #,##0.00_);_("$"* \(#,##0.00\);_("$"* "-"??_);_(@_)</c:formatCode>
                <c:ptCount val="3"/>
                <c:pt idx="0">
                  <c:v>1758999.38</c:v>
                </c:pt>
                <c:pt idx="1">
                  <c:v>-781794.94333333336</c:v>
                </c:pt>
                <c:pt idx="2">
                  <c:v>977204.43666666653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9-4384-9E85-0D86B7223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716976"/>
        <c:axId val="647717456"/>
      </c:barChart>
      <c:catAx>
        <c:axId val="64771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7717456"/>
        <c:crosses val="autoZero"/>
        <c:auto val="1"/>
        <c:lblAlgn val="ctr"/>
        <c:lblOffset val="100"/>
        <c:noMultiLvlLbl val="0"/>
      </c:catAx>
      <c:valAx>
        <c:axId val="64771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771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NETO por semana y concepto — Julio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'Análisis semanal julio'!$A$52</c:f>
              <c:strCache>
                <c:ptCount val="1"/>
                <c:pt idx="0">
                  <c:v>Delivery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semanal julio'!$B$51:$F$51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julio'!$B$52:$F$52</c:f>
              <c:numCache>
                <c:formatCode>"$"#,##0;\("$"#,##0\);"-"</c:formatCode>
                <c:ptCount val="5"/>
                <c:pt idx="0">
                  <c:v>30559</c:v>
                </c:pt>
                <c:pt idx="1">
                  <c:v>7615</c:v>
                </c:pt>
                <c:pt idx="2">
                  <c:v>6883.6</c:v>
                </c:pt>
                <c:pt idx="3">
                  <c:v>26500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4-418F-9304-7FBA49BB8CB4}"/>
            </c:ext>
          </c:extLst>
        </c:ser>
        <c:ser>
          <c:idx val="1"/>
          <c:order val="1"/>
          <c:tx>
            <c:strRef>
              <c:f>'Análisis semanal julio'!$A$53</c:f>
              <c:strCache>
                <c:ptCount val="1"/>
                <c:pt idx="0">
                  <c:v>Salidas a cenar/almorzar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'Análisis semanal julio'!$B$51:$F$51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julio'!$B$53:$F$53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92230</c:v>
                </c:pt>
                <c:pt idx="3">
                  <c:v>34100</c:v>
                </c:pt>
                <c:pt idx="4">
                  <c:v>13600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4-418F-9304-7FBA49BB8CB4}"/>
            </c:ext>
          </c:extLst>
        </c:ser>
        <c:ser>
          <c:idx val="2"/>
          <c:order val="2"/>
          <c:tx>
            <c:strRef>
              <c:f>'Análisis semanal julio'!$A$54</c:f>
              <c:strCache>
                <c:ptCount val="1"/>
                <c:pt idx="0">
                  <c:v>Salidas a desyunar/merendar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'Análisis semanal julio'!$B$51:$F$51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julio'!$B$54:$F$54</c:f>
              <c:numCache>
                <c:formatCode>"$"#,##0;\("$"#,##0\);"-"</c:formatCode>
                <c:ptCount val="5"/>
                <c:pt idx="0">
                  <c:v>54100</c:v>
                </c:pt>
                <c:pt idx="1">
                  <c:v>0</c:v>
                </c:pt>
                <c:pt idx="2">
                  <c:v>26400</c:v>
                </c:pt>
                <c:pt idx="3">
                  <c:v>30300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B4-418F-9304-7FBA49BB8CB4}"/>
            </c:ext>
          </c:extLst>
        </c:ser>
        <c:ser>
          <c:idx val="3"/>
          <c:order val="3"/>
          <c:tx>
            <c:strRef>
              <c:f>'Análisis semanal julio'!$A$55</c:f>
              <c:strCache>
                <c:ptCount val="1"/>
                <c:pt idx="0">
                  <c:v>Salidas a tomar algo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'Análisis semanal julio'!$B$51:$F$51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julio'!$B$55:$F$55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33000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B4-418F-9304-7FBA49BB8CB4}"/>
            </c:ext>
          </c:extLst>
        </c:ser>
        <c:ser>
          <c:idx val="4"/>
          <c:order val="4"/>
          <c:tx>
            <c:strRef>
              <c:f>'Análisis semanal julio'!$A$56</c:f>
              <c:strCache>
                <c:ptCount val="1"/>
                <c:pt idx="0">
                  <c:v>Auto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'Análisis semanal julio'!$B$51:$F$51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julio'!$B$56:$F$56</c:f>
              <c:numCache>
                <c:formatCode>"$"#,##0;\("$"#,##0\);"-"</c:formatCode>
                <c:ptCount val="5"/>
                <c:pt idx="0">
                  <c:v>23600</c:v>
                </c:pt>
                <c:pt idx="1">
                  <c:v>0</c:v>
                </c:pt>
                <c:pt idx="2">
                  <c:v>2000</c:v>
                </c:pt>
                <c:pt idx="3">
                  <c:v>4000</c:v>
                </c:pt>
                <c:pt idx="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B4-418F-9304-7FBA49BB8CB4}"/>
            </c:ext>
          </c:extLst>
        </c:ser>
        <c:ser>
          <c:idx val="5"/>
          <c:order val="5"/>
          <c:tx>
            <c:strRef>
              <c:f>'Análisis semanal julio'!$A$57</c:f>
              <c:strCache>
                <c:ptCount val="1"/>
                <c:pt idx="0">
                  <c:v>Regalos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'Análisis semanal julio'!$B$51:$F$51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julio'!$B$57:$F$57</c:f>
              <c:numCache>
                <c:formatCode>"$"#,##0;\("$"#,##0\);"-"</c:formatCode>
                <c:ptCount val="5"/>
                <c:pt idx="0">
                  <c:v>1300</c:v>
                </c:pt>
                <c:pt idx="1">
                  <c:v>0</c:v>
                </c:pt>
                <c:pt idx="2">
                  <c:v>0</c:v>
                </c:pt>
                <c:pt idx="3">
                  <c:v>-54500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B4-418F-9304-7FBA49BB8CB4}"/>
            </c:ext>
          </c:extLst>
        </c:ser>
        <c:ser>
          <c:idx val="6"/>
          <c:order val="6"/>
          <c:tx>
            <c:strRef>
              <c:f>'Análisis semanal julio'!$A$58</c:f>
              <c:strCache>
                <c:ptCount val="1"/>
                <c:pt idx="0">
                  <c:v>Psicóloga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julio'!$B$51:$F$51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julio'!$B$58:$F$58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40000</c:v>
                </c:pt>
                <c:pt idx="2">
                  <c:v>0</c:v>
                </c:pt>
                <c:pt idx="3">
                  <c:v>45000</c:v>
                </c:pt>
                <c:pt idx="4">
                  <c:v>-29790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B4-418F-9304-7FBA49BB8CB4}"/>
            </c:ext>
          </c:extLst>
        </c:ser>
        <c:ser>
          <c:idx val="7"/>
          <c:order val="7"/>
          <c:tx>
            <c:strRef>
              <c:f>'Análisis semanal julio'!$A$59</c:f>
              <c:strCache>
                <c:ptCount val="1"/>
                <c:pt idx="0">
                  <c:v>Gimnasio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julio'!$B$51:$F$51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julio'!$B$59:$F$59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53000</c:v>
                </c:pt>
                <c:pt idx="2">
                  <c:v>0</c:v>
                </c:pt>
                <c:pt idx="3">
                  <c:v>0</c:v>
                </c:pt>
                <c:pt idx="4">
                  <c:v>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B4-418F-9304-7FBA49BB8CB4}"/>
            </c:ext>
          </c:extLst>
        </c:ser>
        <c:ser>
          <c:idx val="8"/>
          <c:order val="8"/>
          <c:tx>
            <c:strRef>
              <c:f>'Análisis semanal julio'!$A$60</c:f>
              <c:strCache>
                <c:ptCount val="1"/>
                <c:pt idx="0">
                  <c:v>Farmacia/Cosméticos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julio'!$B$51:$F$51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julio'!$B$60:$F$60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8159.49</c:v>
                </c:pt>
                <c:pt idx="4">
                  <c:v>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B4-418F-9304-7FBA49BB8CB4}"/>
            </c:ext>
          </c:extLst>
        </c:ser>
        <c:ser>
          <c:idx val="9"/>
          <c:order val="9"/>
          <c:tx>
            <c:strRef>
              <c:f>'Análisis semanal julio'!$A$61</c:f>
              <c:strCache>
                <c:ptCount val="1"/>
                <c:pt idx="0">
                  <c:v>Telas e insumos p costura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julio'!$B$51:$F$51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julio'!$B$61:$F$61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32980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B4-418F-9304-7FBA49BB8CB4}"/>
            </c:ext>
          </c:extLst>
        </c:ser>
        <c:ser>
          <c:idx val="10"/>
          <c:order val="10"/>
          <c:tx>
            <c:strRef>
              <c:f>'Análisis semanal julio'!$A$62</c:f>
              <c:strCache>
                <c:ptCount val="1"/>
                <c:pt idx="0">
                  <c:v>Pago monotributo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julio'!$B$51:$F$51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julio'!$B$62:$F$62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42386.74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B4-418F-9304-7FBA49BB8CB4}"/>
            </c:ext>
          </c:extLst>
        </c:ser>
        <c:ser>
          <c:idx val="11"/>
          <c:order val="11"/>
          <c:tx>
            <c:strRef>
              <c:f>'Análisis semanal julio'!$A$63</c:f>
              <c:strCache>
                <c:ptCount val="1"/>
                <c:pt idx="0">
                  <c:v>Transferencias Jo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julio'!$B$51:$F$51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julio'!$B$63:$F$63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CB4-418F-9304-7FBA49BB8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1989775"/>
        <c:axId val="1811988815"/>
      </c:barChart>
      <c:catAx>
        <c:axId val="181198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11988815"/>
        <c:crosses val="autoZero"/>
        <c:auto val="1"/>
        <c:lblAlgn val="ctr"/>
        <c:lblOffset val="100"/>
        <c:noMultiLvlLbl val="0"/>
      </c:catAx>
      <c:valAx>
        <c:axId val="181198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1198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NETO por semana y concepto — Agosto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'Análisis semanal agosto'!$A$56</c:f>
              <c:strCache>
                <c:ptCount val="1"/>
                <c:pt idx="0">
                  <c:v>Salidas a cenar/almorzar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agosto'!$B$56:$F$56</c:f>
              <c:numCache>
                <c:formatCode>"$"#,##0;\("$"#,##0\);"-"</c:formatCode>
                <c:ptCount val="5"/>
                <c:pt idx="0">
                  <c:v>45000</c:v>
                </c:pt>
                <c:pt idx="1">
                  <c:v>138950.74</c:v>
                </c:pt>
                <c:pt idx="2">
                  <c:v>66180</c:v>
                </c:pt>
                <c:pt idx="3">
                  <c:v>5000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1-415A-94F9-9F86AD2802DF}"/>
            </c:ext>
          </c:extLst>
        </c:ser>
        <c:ser>
          <c:idx val="1"/>
          <c:order val="1"/>
          <c:tx>
            <c:strRef>
              <c:f>'Análisis semanal agosto'!$A$57</c:f>
              <c:strCache>
                <c:ptCount val="1"/>
                <c:pt idx="0">
                  <c:v>Juntadas a cenar/almorzar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agosto'!$B$57:$F$57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26094.26999999999</c:v>
                </c:pt>
                <c:pt idx="3">
                  <c:v>60070</c:v>
                </c:pt>
                <c:pt idx="4">
                  <c:v>32500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1-415A-94F9-9F86AD2802DF}"/>
            </c:ext>
          </c:extLst>
        </c:ser>
        <c:ser>
          <c:idx val="2"/>
          <c:order val="2"/>
          <c:tx>
            <c:strRef>
              <c:f>'Análisis semanal agosto'!$A$58</c:f>
              <c:strCache>
                <c:ptCount val="1"/>
                <c:pt idx="0">
                  <c:v>Salidas a desyunar/merendar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agosto'!$B$58:$F$58</c:f>
              <c:numCache>
                <c:formatCode>"$"#,##0;\("$"#,##0\);"-"</c:formatCode>
                <c:ptCount val="5"/>
                <c:pt idx="0">
                  <c:v>10000</c:v>
                </c:pt>
                <c:pt idx="1">
                  <c:v>0</c:v>
                </c:pt>
                <c:pt idx="2">
                  <c:v>0</c:v>
                </c:pt>
                <c:pt idx="3">
                  <c:v>8400</c:v>
                </c:pt>
                <c:pt idx="4">
                  <c:v>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A1-415A-94F9-9F86AD2802DF}"/>
            </c:ext>
          </c:extLst>
        </c:ser>
        <c:ser>
          <c:idx val="3"/>
          <c:order val="3"/>
          <c:tx>
            <c:strRef>
              <c:f>'Análisis semanal agosto'!$A$59</c:f>
              <c:strCache>
                <c:ptCount val="1"/>
                <c:pt idx="0">
                  <c:v>Salidas a tomar algo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agosto'!$B$59:$F$59</c:f>
              <c:numCache>
                <c:formatCode>"$"#,##0;\("$"#,##0\);"-"</c:formatCode>
                <c:ptCount val="5"/>
                <c:pt idx="0">
                  <c:v>31500</c:v>
                </c:pt>
                <c:pt idx="1">
                  <c:v>0</c:v>
                </c:pt>
                <c:pt idx="2">
                  <c:v>13500</c:v>
                </c:pt>
                <c:pt idx="3">
                  <c:v>22000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A1-415A-94F9-9F86AD2802DF}"/>
            </c:ext>
          </c:extLst>
        </c:ser>
        <c:ser>
          <c:idx val="4"/>
          <c:order val="4"/>
          <c:tx>
            <c:strRef>
              <c:f>'Análisis semanal agosto'!$A$60</c:f>
              <c:strCache>
                <c:ptCount val="1"/>
                <c:pt idx="0">
                  <c:v>Delivery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agosto'!$B$60:$F$60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18000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A1-415A-94F9-9F86AD2802DF}"/>
            </c:ext>
          </c:extLst>
        </c:ser>
        <c:ser>
          <c:idx val="5"/>
          <c:order val="5"/>
          <c:tx>
            <c:strRef>
              <c:f>'Análisis semanal agosto'!$A$61</c:f>
              <c:strCache>
                <c:ptCount val="1"/>
                <c:pt idx="0">
                  <c:v>Auto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agosto'!$B$61:$F$61</c:f>
              <c:numCache>
                <c:formatCode>"$"#,##0;\("$"#,##0\);"-"</c:formatCode>
                <c:ptCount val="5"/>
                <c:pt idx="0">
                  <c:v>50000</c:v>
                </c:pt>
                <c:pt idx="1">
                  <c:v>20000</c:v>
                </c:pt>
                <c:pt idx="2">
                  <c:v>0</c:v>
                </c:pt>
                <c:pt idx="3">
                  <c:v>25000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A1-415A-94F9-9F86AD2802DF}"/>
            </c:ext>
          </c:extLst>
        </c:ser>
        <c:ser>
          <c:idx val="6"/>
          <c:order val="6"/>
          <c:tx>
            <c:strRef>
              <c:f>'Análisis semanal agosto'!$A$62</c:f>
              <c:strCache>
                <c:ptCount val="1"/>
                <c:pt idx="0">
                  <c:v>Regalos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agosto'!$B$62:$F$62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-30000</c:v>
                </c:pt>
                <c:pt idx="3">
                  <c:v>33950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A1-415A-94F9-9F86AD2802DF}"/>
            </c:ext>
          </c:extLst>
        </c:ser>
        <c:ser>
          <c:idx val="7"/>
          <c:order val="7"/>
          <c:tx>
            <c:strRef>
              <c:f>'Análisis semanal agosto'!$A$63</c:f>
              <c:strCache>
                <c:ptCount val="1"/>
                <c:pt idx="0">
                  <c:v>Fiestas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agosto'!$B$63:$F$63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24600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A1-415A-94F9-9F86AD2802DF}"/>
            </c:ext>
          </c:extLst>
        </c:ser>
        <c:ser>
          <c:idx val="8"/>
          <c:order val="8"/>
          <c:tx>
            <c:strRef>
              <c:f>'Análisis semanal agosto'!$A$64</c:f>
              <c:strCache>
                <c:ptCount val="1"/>
                <c:pt idx="0">
                  <c:v>Psicóloga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agosto'!$B$64:$F$64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45000</c:v>
                </c:pt>
                <c:pt idx="2">
                  <c:v>0</c:v>
                </c:pt>
                <c:pt idx="3">
                  <c:v>45000</c:v>
                </c:pt>
                <c:pt idx="4">
                  <c:v>14614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A1-415A-94F9-9F86AD2802DF}"/>
            </c:ext>
          </c:extLst>
        </c:ser>
        <c:ser>
          <c:idx val="9"/>
          <c:order val="9"/>
          <c:tx>
            <c:strRef>
              <c:f>'Análisis semanal agosto'!$A$65</c:f>
              <c:strCache>
                <c:ptCount val="1"/>
                <c:pt idx="0">
                  <c:v>Farmacia/Cosméticos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agosto'!$B$65:$F$65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6686.31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A1-415A-94F9-9F86AD2802DF}"/>
            </c:ext>
          </c:extLst>
        </c:ser>
        <c:ser>
          <c:idx val="10"/>
          <c:order val="10"/>
          <c:tx>
            <c:strRef>
              <c:f>'Análisis semanal agosto'!$A$66</c:f>
              <c:strCache>
                <c:ptCount val="1"/>
                <c:pt idx="0">
                  <c:v>Celular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agosto'!$B$66:$F$66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7000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A1-415A-94F9-9F86AD2802DF}"/>
            </c:ext>
          </c:extLst>
        </c:ser>
        <c:ser>
          <c:idx val="11"/>
          <c:order val="11"/>
          <c:tx>
            <c:strRef>
              <c:f>'Análisis semanal agosto'!$A$67</c:f>
              <c:strCache>
                <c:ptCount val="1"/>
                <c:pt idx="0">
                  <c:v>Pago monotributo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agosto'!$B$67:$F$67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56379.08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2A1-415A-94F9-9F86AD2802DF}"/>
            </c:ext>
          </c:extLst>
        </c:ser>
        <c:ser>
          <c:idx val="12"/>
          <c:order val="12"/>
          <c:tx>
            <c:strRef>
              <c:f>'Análisis semanal agosto'!$A$68</c:f>
              <c:strCache>
                <c:ptCount val="1"/>
                <c:pt idx="0">
                  <c:v>Transferencias Jo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semanal agosto'!$B$55:$F$55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'Análisis semanal agosto'!$B$68:$F$68</c:f>
              <c:numCache>
                <c:formatCode>"$"#,##0;\("$"#,##0\);"-"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-25000</c:v>
                </c:pt>
                <c:pt idx="3">
                  <c:v>10000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A1-415A-94F9-9F86AD280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5514159"/>
        <c:axId val="2045514639"/>
      </c:barChart>
      <c:catAx>
        <c:axId val="204551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45514639"/>
        <c:crosses val="autoZero"/>
        <c:auto val="1"/>
        <c:lblAlgn val="ctr"/>
        <c:lblOffset val="100"/>
        <c:noMultiLvlLbl val="0"/>
      </c:catAx>
      <c:valAx>
        <c:axId val="20455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4551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Composición de ingresos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'Ingresos totales'!$B$27</c:f>
              <c:strCache>
                <c:ptCount val="1"/>
                <c:pt idx="0">
                  <c:v>Quantum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totales'!$A$28:$A$39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totales'!$B$28:$B$39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0.94509040143388201</c:v>
                </c:pt>
                <c:pt idx="3">
                  <c:v>0.87937896692770734</c:v>
                </c:pt>
                <c:pt idx="4">
                  <c:v>0.9212184638197719</c:v>
                </c:pt>
                <c:pt idx="5">
                  <c:v>0.7699650163115378</c:v>
                </c:pt>
                <c:pt idx="6">
                  <c:v>0.84836438973582873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3-4D1E-B024-26EF39D4250F}"/>
            </c:ext>
          </c:extLst>
        </c:ser>
        <c:ser>
          <c:idx val="1"/>
          <c:order val="1"/>
          <c:tx>
            <c:strRef>
              <c:f>'Ingresos totales'!$C$27</c:f>
              <c:strCache>
                <c:ptCount val="1"/>
                <c:pt idx="0">
                  <c:v>Axis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totales'!$A$28:$A$39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totales'!$C$28:$C$39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5.4909598566118045E-2</c:v>
                </c:pt>
                <c:pt idx="3">
                  <c:v>0.1206210330722927</c:v>
                </c:pt>
                <c:pt idx="4">
                  <c:v>7.8781536180228123E-2</c:v>
                </c:pt>
                <c:pt idx="5">
                  <c:v>0.12384456998345947</c:v>
                </c:pt>
                <c:pt idx="6">
                  <c:v>0.15163561026417122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3-4D1E-B024-26EF39D4250F}"/>
            </c:ext>
          </c:extLst>
        </c:ser>
        <c:ser>
          <c:idx val="2"/>
          <c:order val="2"/>
          <c:tx>
            <c:strRef>
              <c:f>'Ingresos totales'!$D$27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totales'!$A$28:$A$39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totales'!$D$28:$D$39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0.10619041370500276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F3-4D1E-B024-26EF39D4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136468768"/>
        <c:axId val="1136465888"/>
      </c:barChart>
      <c:catAx>
        <c:axId val="113646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36465888"/>
        <c:crosses val="autoZero"/>
        <c:auto val="1"/>
        <c:lblAlgn val="ctr"/>
        <c:lblOffset val="100"/>
        <c:noMultiLvlLbl val="0"/>
      </c:catAx>
      <c:valAx>
        <c:axId val="113646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364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De honorarios a flujo disponible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100" b="1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s-AR" sz="1100" b="1"/>
            <a:t>De honorarios a flujo disponible</a:t>
          </a:r>
        </a:p>
      </cx:txPr>
    </cx:title>
    <cx:plotArea>
      <cx:plotAreaRegion>
        <cx:series layoutId="waterfall" uniqueId="{EB78BCC8-D23F-41E8-8750-7DA5BD856227}"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20</xdr:col>
      <xdr:colOff>0</xdr:colOff>
      <xdr:row>23</xdr:row>
      <xdr:rowOff>0</xdr:rowOff>
    </xdr:to>
    <xdr:graphicFrame macro="">
      <xdr:nvGraphicFramePr>
        <xdr:cNvPr id="4" name="TopGastos">
          <a:extLst>
            <a:ext uri="{FF2B5EF4-FFF2-40B4-BE49-F238E27FC236}">
              <a16:creationId xmlns:a16="http://schemas.microsoft.com/office/drawing/2014/main" id="{F8D8A226-B587-A274-7152-3FDD7F805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3</xdr:row>
      <xdr:rowOff>0</xdr:rowOff>
    </xdr:from>
    <xdr:to>
      <xdr:col>28</xdr:col>
      <xdr:colOff>0</xdr:colOff>
      <xdr:row>23</xdr:row>
      <xdr:rowOff>0</xdr:rowOff>
    </xdr:to>
    <xdr:graphicFrame macro="">
      <xdr:nvGraphicFramePr>
        <xdr:cNvPr id="5" name="CategoriaGasto">
          <a:extLst>
            <a:ext uri="{FF2B5EF4-FFF2-40B4-BE49-F238E27FC236}">
              <a16:creationId xmlns:a16="http://schemas.microsoft.com/office/drawing/2014/main" id="{2D5C4555-0428-922B-0158-F50D096F1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24</xdr:row>
      <xdr:rowOff>0</xdr:rowOff>
    </xdr:from>
    <xdr:to>
      <xdr:col>20</xdr:col>
      <xdr:colOff>0</xdr:colOff>
      <xdr:row>44</xdr:row>
      <xdr:rowOff>0</xdr:rowOff>
    </xdr:to>
    <xdr:graphicFrame macro="">
      <xdr:nvGraphicFramePr>
        <xdr:cNvPr id="6" name="EvolucionMensual">
          <a:extLst>
            <a:ext uri="{FF2B5EF4-FFF2-40B4-BE49-F238E27FC236}">
              <a16:creationId xmlns:a16="http://schemas.microsoft.com/office/drawing/2014/main" id="{89880CF3-5304-E2A5-424D-D0E57412F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24</xdr:row>
      <xdr:rowOff>0</xdr:rowOff>
    </xdr:from>
    <xdr:to>
      <xdr:col>28</xdr:col>
      <xdr:colOff>0</xdr:colOff>
      <xdr:row>44</xdr:row>
      <xdr:rowOff>0</xdr:rowOff>
    </xdr:to>
    <xdr:graphicFrame macro="">
      <xdr:nvGraphicFramePr>
        <xdr:cNvPr id="7" name="TasaAhorro">
          <a:extLst>
            <a:ext uri="{FF2B5EF4-FFF2-40B4-BE49-F238E27FC236}">
              <a16:creationId xmlns:a16="http://schemas.microsoft.com/office/drawing/2014/main" id="{924FF8A0-E778-3289-CB52-7946DFCD3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45</xdr:row>
      <xdr:rowOff>0</xdr:rowOff>
    </xdr:from>
    <xdr:to>
      <xdr:col>20</xdr:col>
      <xdr:colOff>0</xdr:colOff>
      <xdr:row>65</xdr:row>
      <xdr:rowOff>0</xdr:rowOff>
    </xdr:to>
    <xdr:graphicFrame macro="">
      <xdr:nvGraphicFramePr>
        <xdr:cNvPr id="8" name="BaseVsSimulado">
          <a:extLst>
            <a:ext uri="{FF2B5EF4-FFF2-40B4-BE49-F238E27FC236}">
              <a16:creationId xmlns:a16="http://schemas.microsoft.com/office/drawing/2014/main" id="{0F3D6CE9-7360-4462-0CBC-1FD64C60F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28</xdr:col>
      <xdr:colOff>0</xdr:colOff>
      <xdr:row>65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ascada">
              <a:extLst>
                <a:ext uri="{FF2B5EF4-FFF2-40B4-BE49-F238E27FC236}">
                  <a16:creationId xmlns:a16="http://schemas.microsoft.com/office/drawing/2014/main" id="{28598F08-23EA-511A-1F24-6B49491ECC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55375" y="8601075"/>
              <a:ext cx="5334000" cy="3857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3A70D1-FE17-55B0-85F8-B3259F340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D48502-99B7-5ACC-9DB8-3A262AD32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23</xdr:row>
      <xdr:rowOff>176211</xdr:rowOff>
    </xdr:from>
    <xdr:to>
      <xdr:col>14</xdr:col>
      <xdr:colOff>695325</xdr:colOff>
      <xdr:row>41</xdr:row>
      <xdr:rowOff>152399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D07BBB-8FE6-9A8A-B6C9-7EDFF61E7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specto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887DBB-2595-43DB-AB7F-4DB404519D2A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d2e4db5e-12f7-44e8-89fe-7478539e6c1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C348-E1B3-453C-86B5-0FAD090A0429}">
  <sheetPr codeName="Hoja1">
    <tabColor theme="5"/>
  </sheetPr>
  <dimension ref="A1:C30"/>
  <sheetViews>
    <sheetView topLeftCell="A2" workbookViewId="0">
      <selection activeCell="B30" sqref="B30"/>
    </sheetView>
  </sheetViews>
  <sheetFormatPr baseColWidth="10" defaultRowHeight="15" x14ac:dyDescent="0.25"/>
  <cols>
    <col min="1" max="1" width="27.7109375" bestFit="1" customWidth="1"/>
    <col min="3" max="3" width="33.42578125" bestFit="1" customWidth="1"/>
  </cols>
  <sheetData>
    <row r="1" spans="1:3" ht="15.75" thickBot="1" x14ac:dyDescent="0.3">
      <c r="A1" s="65" t="s">
        <v>156</v>
      </c>
      <c r="C1" s="65" t="s">
        <v>160</v>
      </c>
    </row>
    <row r="2" spans="1:3" x14ac:dyDescent="0.25">
      <c r="A2" t="s">
        <v>136</v>
      </c>
      <c r="C2" t="s">
        <v>110</v>
      </c>
    </row>
    <row r="3" spans="1:3" x14ac:dyDescent="0.25">
      <c r="A3" t="s">
        <v>151</v>
      </c>
      <c r="C3" t="s">
        <v>109</v>
      </c>
    </row>
    <row r="4" spans="1:3" x14ac:dyDescent="0.25">
      <c r="A4" t="s">
        <v>296</v>
      </c>
      <c r="C4" t="s">
        <v>108</v>
      </c>
    </row>
    <row r="5" spans="1:3" x14ac:dyDescent="0.25">
      <c r="A5" t="s">
        <v>152</v>
      </c>
      <c r="C5" t="s">
        <v>115</v>
      </c>
    </row>
    <row r="6" spans="1:3" x14ac:dyDescent="0.25">
      <c r="A6" t="s">
        <v>297</v>
      </c>
      <c r="C6" t="s">
        <v>130</v>
      </c>
    </row>
    <row r="7" spans="1:3" x14ac:dyDescent="0.25">
      <c r="A7" t="s">
        <v>153</v>
      </c>
      <c r="C7" t="s">
        <v>131</v>
      </c>
    </row>
    <row r="8" spans="1:3" x14ac:dyDescent="0.25">
      <c r="A8" t="s">
        <v>154</v>
      </c>
      <c r="C8" t="s">
        <v>114</v>
      </c>
    </row>
    <row r="9" spans="1:3" x14ac:dyDescent="0.25">
      <c r="A9" t="s">
        <v>137</v>
      </c>
      <c r="C9" t="s">
        <v>117</v>
      </c>
    </row>
    <row r="10" spans="1:3" x14ac:dyDescent="0.25">
      <c r="A10" t="s">
        <v>268</v>
      </c>
      <c r="C10" t="s">
        <v>118</v>
      </c>
    </row>
    <row r="11" spans="1:3" x14ac:dyDescent="0.25">
      <c r="A11" t="s">
        <v>138</v>
      </c>
    </row>
    <row r="12" spans="1:3" x14ac:dyDescent="0.25">
      <c r="A12" t="s">
        <v>139</v>
      </c>
    </row>
    <row r="13" spans="1:3" x14ac:dyDescent="0.25">
      <c r="A13" t="s">
        <v>140</v>
      </c>
    </row>
    <row r="14" spans="1:3" x14ac:dyDescent="0.25">
      <c r="A14" t="s">
        <v>201</v>
      </c>
    </row>
    <row r="15" spans="1:3" x14ac:dyDescent="0.25">
      <c r="A15" t="s">
        <v>202</v>
      </c>
    </row>
    <row r="16" spans="1:3" x14ac:dyDescent="0.25">
      <c r="A16" t="s">
        <v>141</v>
      </c>
    </row>
    <row r="17" spans="1:1" x14ac:dyDescent="0.25">
      <c r="A17" t="s">
        <v>149</v>
      </c>
    </row>
    <row r="18" spans="1:1" x14ac:dyDescent="0.25">
      <c r="A18" t="s">
        <v>419</v>
      </c>
    </row>
    <row r="19" spans="1:1" x14ac:dyDescent="0.25">
      <c r="A19" t="s">
        <v>427</v>
      </c>
    </row>
    <row r="20" spans="1:1" x14ac:dyDescent="0.25">
      <c r="A20" t="s">
        <v>158</v>
      </c>
    </row>
    <row r="21" spans="1:1" x14ac:dyDescent="0.25">
      <c r="A21" t="s">
        <v>157</v>
      </c>
    </row>
    <row r="22" spans="1:1" x14ac:dyDescent="0.25">
      <c r="A22" t="s">
        <v>159</v>
      </c>
    </row>
    <row r="23" spans="1:1" x14ac:dyDescent="0.25">
      <c r="A23" t="s">
        <v>165</v>
      </c>
    </row>
    <row r="24" spans="1:1" x14ac:dyDescent="0.25">
      <c r="A24" t="s">
        <v>166</v>
      </c>
    </row>
    <row r="25" spans="1:1" x14ac:dyDescent="0.25">
      <c r="A25" t="s">
        <v>167</v>
      </c>
    </row>
    <row r="26" spans="1:1" x14ac:dyDescent="0.25">
      <c r="A26" t="s">
        <v>175</v>
      </c>
    </row>
    <row r="27" spans="1:1" x14ac:dyDescent="0.25">
      <c r="A27" t="s">
        <v>221</v>
      </c>
    </row>
    <row r="28" spans="1:1" x14ac:dyDescent="0.25">
      <c r="A28" t="s">
        <v>230</v>
      </c>
    </row>
    <row r="29" spans="1:1" x14ac:dyDescent="0.25">
      <c r="A29" t="s">
        <v>250</v>
      </c>
    </row>
    <row r="30" spans="1:1" x14ac:dyDescent="0.25">
      <c r="A30" t="s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702D-93B3-42CE-888D-13CEC38C2622}">
  <sheetPr codeName="Hoja2">
    <tabColor theme="5" tint="0.79998168889431442"/>
  </sheetPr>
  <dimension ref="B1:Y173"/>
  <sheetViews>
    <sheetView showGridLines="0" topLeftCell="B33" zoomScaleNormal="100" workbookViewId="0">
      <selection activeCell="C48" sqref="C48"/>
    </sheetView>
  </sheetViews>
  <sheetFormatPr baseColWidth="10" defaultRowHeight="15" x14ac:dyDescent="0.25"/>
  <cols>
    <col min="1" max="1" width="2.42578125" customWidth="1"/>
    <col min="2" max="2" width="16.28515625" bestFit="1" customWidth="1"/>
    <col min="3" max="3" width="14.5703125" bestFit="1" customWidth="1"/>
    <col min="4" max="4" width="15.5703125" bestFit="1" customWidth="1"/>
    <col min="5" max="5" width="30.5703125" bestFit="1" customWidth="1"/>
    <col min="6" max="6" width="29.28515625" bestFit="1" customWidth="1"/>
    <col min="7" max="7" width="46" bestFit="1" customWidth="1"/>
    <col min="8" max="8" width="11" style="1" customWidth="1"/>
    <col min="9" max="9" width="6.140625" customWidth="1"/>
    <col min="10" max="10" width="29.28515625" bestFit="1" customWidth="1"/>
    <col min="11" max="11" width="18.42578125" style="1" bestFit="1" customWidth="1"/>
    <col min="12" max="12" width="19" style="1" bestFit="1" customWidth="1"/>
    <col min="13" max="13" width="19.85546875" style="1" bestFit="1" customWidth="1"/>
    <col min="14" max="14" width="29.28515625" style="1" bestFit="1" customWidth="1"/>
    <col min="15" max="15" width="20.85546875" customWidth="1"/>
    <col min="16" max="16" width="18.5703125" customWidth="1"/>
    <col min="17" max="17" width="5" customWidth="1"/>
    <col min="18" max="18" width="29.28515625" bestFit="1" customWidth="1"/>
    <col min="19" max="19" width="18.42578125" bestFit="1" customWidth="1"/>
    <col min="20" max="20" width="19" bestFit="1" customWidth="1"/>
    <col min="21" max="21" width="19.85546875" bestFit="1" customWidth="1"/>
    <col min="22" max="22" width="20.42578125" bestFit="1" customWidth="1"/>
    <col min="23" max="23" width="29.7109375" customWidth="1"/>
  </cols>
  <sheetData>
    <row r="1" spans="2:25" ht="15.75" thickBot="1" x14ac:dyDescent="0.3">
      <c r="B1" s="248" t="s">
        <v>155</v>
      </c>
      <c r="C1" s="249"/>
      <c r="J1" s="116" t="s">
        <v>119</v>
      </c>
      <c r="K1" s="117" t="s">
        <v>111</v>
      </c>
      <c r="L1" s="118" t="s">
        <v>112</v>
      </c>
      <c r="M1"/>
      <c r="N1" s="116" t="s">
        <v>120</v>
      </c>
      <c r="O1" s="117" t="s">
        <v>111</v>
      </c>
      <c r="P1" s="118" t="s">
        <v>112</v>
      </c>
      <c r="Q1" s="1"/>
      <c r="R1" s="116" t="s">
        <v>198</v>
      </c>
      <c r="S1" s="117" t="s">
        <v>111</v>
      </c>
      <c r="T1" s="118" t="s">
        <v>112</v>
      </c>
      <c r="Y1" s="126"/>
    </row>
    <row r="2" spans="2:25" x14ac:dyDescent="0.25">
      <c r="B2" s="114" t="s">
        <v>124</v>
      </c>
      <c r="C2" s="74">
        <v>2026</v>
      </c>
      <c r="J2" s="120" t="s">
        <v>110</v>
      </c>
      <c r="K2" s="79">
        <v>10000</v>
      </c>
      <c r="L2" s="121">
        <f>K2*$D$7</f>
        <v>14890000</v>
      </c>
      <c r="M2"/>
      <c r="N2" s="120" t="s">
        <v>110</v>
      </c>
      <c r="O2" s="79">
        <f>K2+SUMIF($E$24:$E$99,$N2,$C$24:$C$99)+SUMIF($E$24:$E$99,$N2,$D$24:$D$99)</f>
        <v>10000</v>
      </c>
      <c r="P2" s="121">
        <f>O2*$D$7</f>
        <v>14890000</v>
      </c>
      <c r="Q2" s="1"/>
      <c r="R2" s="120" t="s">
        <v>110</v>
      </c>
      <c r="S2" s="79">
        <f>IFERROR(IF(O2&gt;K2,O2-K2,K2-O2),0)</f>
        <v>0</v>
      </c>
      <c r="T2" s="121">
        <f>IFERROR(IF(P2&gt;L2,P2-L2,L2-P2),0)</f>
        <v>0</v>
      </c>
    </row>
    <row r="3" spans="2:25" x14ac:dyDescent="0.25">
      <c r="B3" s="114" t="s">
        <v>125</v>
      </c>
      <c r="C3" s="75" t="s">
        <v>15</v>
      </c>
      <c r="J3" s="120" t="s">
        <v>109</v>
      </c>
      <c r="K3" s="79">
        <v>500</v>
      </c>
      <c r="L3" s="121">
        <f>K3*$D$7</f>
        <v>744500</v>
      </c>
      <c r="M3"/>
      <c r="N3" s="120" t="s">
        <v>109</v>
      </c>
      <c r="O3" s="79">
        <v>500</v>
      </c>
      <c r="P3" s="121">
        <f>L3+SUMIF($E$24:$E$99,$N3,$C$24:$C$99)+SUMIF($E$24:$E$99,$N3,$D$24:$D$99)</f>
        <v>744500</v>
      </c>
      <c r="Q3" s="1"/>
      <c r="R3" s="120" t="s">
        <v>109</v>
      </c>
      <c r="S3" s="79">
        <f t="shared" ref="S3:T10" si="0">IFERROR(IF(O3&gt;K3,O3-K3,K3-O3),0)</f>
        <v>0</v>
      </c>
      <c r="T3" s="121">
        <f t="shared" si="0"/>
        <v>0</v>
      </c>
    </row>
    <row r="4" spans="2:25" x14ac:dyDescent="0.25">
      <c r="B4" s="115" t="s">
        <v>126</v>
      </c>
      <c r="C4" s="76">
        <f>DAY(EOMONTH(DATE($C$2,MATCH($C$3,{"enero";"febrero";"marzo";"abril";"mayo";"junio";"julio";"agosto";"septiembre";"octubre";"noviembre";"diciembre"},0),1),0))</f>
        <v>31</v>
      </c>
      <c r="J4" s="120" t="s">
        <v>108</v>
      </c>
      <c r="K4" s="79">
        <f>L4/$C$7</f>
        <v>302.20447297297295</v>
      </c>
      <c r="L4" s="121">
        <v>447262.62</v>
      </c>
      <c r="M4"/>
      <c r="N4" s="120" t="s">
        <v>108</v>
      </c>
      <c r="O4" s="79">
        <f>IFERROR(P4/$C$8,"")</f>
        <v>1128.2620684931508</v>
      </c>
      <c r="P4" s="121">
        <f>L4+SUMIF($E$24:$E$99,$N4,$C$24:$C$99)+SUMIF($E$24:$E$99,$N4,$D$24:$D$99)</f>
        <v>1647262.62</v>
      </c>
      <c r="Q4" s="1"/>
      <c r="R4" s="120" t="s">
        <v>108</v>
      </c>
      <c r="S4" s="79">
        <f t="shared" si="0"/>
        <v>826.05759552017776</v>
      </c>
      <c r="T4" s="121">
        <f t="shared" si="0"/>
        <v>1200000</v>
      </c>
    </row>
    <row r="5" spans="2:25" x14ac:dyDescent="0.25">
      <c r="J5" s="120" t="s">
        <v>115</v>
      </c>
      <c r="K5" s="79">
        <f>L5/$C$7</f>
        <v>2160.0628581081078</v>
      </c>
      <c r="L5" s="121">
        <v>3196893.03</v>
      </c>
      <c r="M5"/>
      <c r="N5" s="120" t="s">
        <v>115</v>
      </c>
      <c r="O5" s="79">
        <f>IFERROR(P5/$C$8,"")</f>
        <v>929.01970547945189</v>
      </c>
      <c r="P5" s="121">
        <f>L5+SUMIF($E$24:$E$99,$N5,$C$24:$C$99)+SUMIF($E$24:$E$99,$N5,$D$24:$D$99)</f>
        <v>1356368.7699999998</v>
      </c>
      <c r="Q5" s="1"/>
      <c r="R5" s="120" t="s">
        <v>115</v>
      </c>
      <c r="S5" s="79">
        <f t="shared" si="0"/>
        <v>1231.0431526286559</v>
      </c>
      <c r="T5" s="121">
        <f t="shared" si="0"/>
        <v>1840524.26</v>
      </c>
    </row>
    <row r="6" spans="2:25" ht="15.75" thickBot="1" x14ac:dyDescent="0.3">
      <c r="B6" s="116" t="s">
        <v>113</v>
      </c>
      <c r="C6" s="117" t="s">
        <v>127</v>
      </c>
      <c r="D6" s="118" t="s">
        <v>128</v>
      </c>
      <c r="E6" s="112"/>
      <c r="J6" s="120" t="s">
        <v>130</v>
      </c>
      <c r="K6" s="79">
        <f>L6/$C$7</f>
        <v>253.20724999999999</v>
      </c>
      <c r="L6" s="121">
        <v>374746.73</v>
      </c>
      <c r="M6"/>
      <c r="N6" s="120" t="s">
        <v>130</v>
      </c>
      <c r="O6" s="79">
        <f>IFERROR(P6/$C$8,"")</f>
        <v>1429.7389999999996</v>
      </c>
      <c r="P6" s="121">
        <f>L6+SUMIF($E$24:$E$99,$N6,$C$24:$C$99)+SUMIF($E$24:$E$99,$N6,$D$24:$D$99)</f>
        <v>2087418.9399999995</v>
      </c>
      <c r="Q6" s="1"/>
      <c r="R6" s="120" t="s">
        <v>130</v>
      </c>
      <c r="S6" s="79">
        <f t="shared" si="0"/>
        <v>1176.5317499999996</v>
      </c>
      <c r="T6" s="121">
        <f t="shared" si="0"/>
        <v>1712672.2099999995</v>
      </c>
    </row>
    <row r="7" spans="2:25" x14ac:dyDescent="0.25">
      <c r="B7" s="127">
        <f>DATE($C$2,MATCH($C$3,{"enero";"febrero";"marzo";"abril";"mayo";"junio";"julio";"agosto";"septiembre";"octubre";"noviembre";"diciembre"},0),1)</f>
        <v>46204</v>
      </c>
      <c r="C7" s="128">
        <v>1480</v>
      </c>
      <c r="D7" s="129">
        <v>1489</v>
      </c>
      <c r="E7" s="14"/>
      <c r="J7" s="120" t="s">
        <v>131</v>
      </c>
      <c r="K7" s="79">
        <v>0.52</v>
      </c>
      <c r="L7" s="121">
        <f>K7*$D$7</f>
        <v>774.28</v>
      </c>
      <c r="M7"/>
      <c r="N7" s="120" t="s">
        <v>131</v>
      </c>
      <c r="O7" s="14">
        <f>K7+SUM(C17:C19)-SUM(D17:D19)</f>
        <v>4.7400000000000091</v>
      </c>
      <c r="P7" s="121">
        <f>O7*$D$8</f>
        <v>7157.4000000000142</v>
      </c>
      <c r="Q7" s="1"/>
      <c r="R7" s="120" t="s">
        <v>131</v>
      </c>
      <c r="S7" s="79">
        <f t="shared" si="0"/>
        <v>4.2200000000000095</v>
      </c>
      <c r="T7" s="121">
        <f t="shared" si="0"/>
        <v>6383.1200000000144</v>
      </c>
    </row>
    <row r="8" spans="2:25" x14ac:dyDescent="0.25">
      <c r="B8" s="119">
        <f>DATE($C$2,MATCH($C$3,{"enero";"febrero";"marzo";"abril";"mayo";"junio";"julio";"agosto";"septiembre";"octubre";"noviembre";"diciembre"},0),C4)</f>
        <v>46234</v>
      </c>
      <c r="C8" s="138">
        <v>1460</v>
      </c>
      <c r="D8" s="139">
        <v>1510</v>
      </c>
      <c r="J8" s="120" t="s">
        <v>114</v>
      </c>
      <c r="K8" s="79">
        <f>L8/$C$7</f>
        <v>0.38181756756756757</v>
      </c>
      <c r="L8" s="121">
        <v>565.09</v>
      </c>
      <c r="M8"/>
      <c r="N8" s="120" t="s">
        <v>116</v>
      </c>
      <c r="O8" s="79">
        <f>IFERROR(P8/$C$8,"")</f>
        <v>0.38704794520547947</v>
      </c>
      <c r="P8" s="121">
        <f>L8+SUMIF($E$24:$E$99,$N8,$C$24:$C$99)+SUMIF($E$24:$E$99,$N8,$D$24:$D$99)</f>
        <v>565.09</v>
      </c>
      <c r="Q8" s="1"/>
      <c r="R8" s="120" t="s">
        <v>116</v>
      </c>
      <c r="S8" s="79">
        <f t="shared" si="0"/>
        <v>5.2303776379118982E-3</v>
      </c>
      <c r="T8" s="121">
        <f t="shared" si="0"/>
        <v>0</v>
      </c>
    </row>
    <row r="9" spans="2:25" x14ac:dyDescent="0.25">
      <c r="J9" s="120" t="s">
        <v>117</v>
      </c>
      <c r="K9" s="79">
        <f>L9/$C$7</f>
        <v>9.1891891891891894E-4</v>
      </c>
      <c r="L9" s="121">
        <v>1.36</v>
      </c>
      <c r="M9"/>
      <c r="N9" s="120" t="s">
        <v>117</v>
      </c>
      <c r="O9" s="79">
        <f>IFERROR(P9/$C$8,"")</f>
        <v>9.315068493150686E-4</v>
      </c>
      <c r="P9" s="121">
        <f>L9+SUMIF($E$24:$E$99,$N9,$C$24:$C$99)+SUMIF($E$24:$E$99,$N9,$D$24:$D$99)</f>
        <v>1.36</v>
      </c>
      <c r="Q9" s="1"/>
      <c r="R9" s="120" t="s">
        <v>117</v>
      </c>
      <c r="S9" s="79">
        <f t="shared" si="0"/>
        <v>1.2587930396149656E-5</v>
      </c>
      <c r="T9" s="121">
        <f t="shared" si="0"/>
        <v>0</v>
      </c>
    </row>
    <row r="10" spans="2:25" x14ac:dyDescent="0.25">
      <c r="J10" s="120" t="s">
        <v>118</v>
      </c>
      <c r="K10" s="79">
        <f>L10/$C$7</f>
        <v>27.027027027027028</v>
      </c>
      <c r="L10" s="121">
        <v>40000</v>
      </c>
      <c r="M10"/>
      <c r="N10" s="120" t="s">
        <v>118</v>
      </c>
      <c r="O10" s="79">
        <f>IFERROR(P10/$C$8,"")</f>
        <v>3.4246575342465753</v>
      </c>
      <c r="P10" s="121">
        <f>L10+SUMIF($E$24:$E$99,$N10,$C$24:$C$99)+SUMIF($E$24:$E$99,$N10,$D$24:$D$99)</f>
        <v>5000</v>
      </c>
      <c r="Q10" s="1"/>
      <c r="R10" s="120" t="s">
        <v>118</v>
      </c>
      <c r="S10" s="79">
        <f t="shared" si="0"/>
        <v>23.602369492780454</v>
      </c>
      <c r="T10" s="121">
        <f t="shared" si="0"/>
        <v>35000</v>
      </c>
    </row>
    <row r="11" spans="2:25" ht="15.75" thickBot="1" x14ac:dyDescent="0.3">
      <c r="J11" s="120"/>
      <c r="K11"/>
      <c r="L11" s="74"/>
      <c r="M11"/>
      <c r="N11" s="120"/>
      <c r="P11" s="74"/>
      <c r="Q11" s="1"/>
      <c r="R11" s="120"/>
      <c r="T11" s="74"/>
    </row>
    <row r="12" spans="2:25" x14ac:dyDescent="0.25">
      <c r="J12" s="122" t="s">
        <v>82</v>
      </c>
      <c r="K12" s="123">
        <f>SUM(K2:K10)</f>
        <v>13243.404344594594</v>
      </c>
      <c r="L12" s="124">
        <f>SUM(L2:L10)</f>
        <v>19694743.109999999</v>
      </c>
      <c r="M12"/>
      <c r="N12" s="122" t="s">
        <v>82</v>
      </c>
      <c r="O12" s="123">
        <f>SUM(O2:O9)</f>
        <v>13992.148753424655</v>
      </c>
      <c r="P12" s="124">
        <f>SUM(P2:P9)</f>
        <v>20733274.179999996</v>
      </c>
      <c r="Q12" s="1"/>
      <c r="R12" s="122" t="s">
        <v>82</v>
      </c>
      <c r="S12" s="123">
        <f>SUM(S2:S9)</f>
        <v>3237.8577411144015</v>
      </c>
      <c r="T12" s="124">
        <f>SUM(T2:T9)</f>
        <v>4759579.5899999989</v>
      </c>
    </row>
    <row r="13" spans="2:25" x14ac:dyDescent="0.25">
      <c r="F13" s="14"/>
    </row>
    <row r="14" spans="2:25" ht="15.75" thickBot="1" x14ac:dyDescent="0.3">
      <c r="F14" s="14"/>
    </row>
    <row r="15" spans="2:25" x14ac:dyDescent="0.25">
      <c r="B15" s="245" t="s">
        <v>180</v>
      </c>
      <c r="C15" s="246"/>
      <c r="D15" s="246"/>
      <c r="E15" s="246"/>
      <c r="F15" s="246"/>
      <c r="G15" s="246"/>
      <c r="H15" s="247"/>
      <c r="J15" s="245" t="s">
        <v>171</v>
      </c>
      <c r="K15" s="246"/>
      <c r="L15" s="246"/>
      <c r="M15" s="246"/>
      <c r="N15" s="246"/>
      <c r="O15" s="246"/>
      <c r="P15" s="247"/>
    </row>
    <row r="16" spans="2:25" x14ac:dyDescent="0.25">
      <c r="B16" s="71" t="s">
        <v>132</v>
      </c>
      <c r="C16" s="72" t="s">
        <v>69</v>
      </c>
      <c r="D16" s="72" t="s">
        <v>122</v>
      </c>
      <c r="E16" s="72" t="s">
        <v>143</v>
      </c>
      <c r="F16" s="72" t="s">
        <v>123</v>
      </c>
      <c r="G16" s="72" t="s">
        <v>129</v>
      </c>
      <c r="H16" s="73" t="s">
        <v>121</v>
      </c>
      <c r="J16" s="82" t="s">
        <v>123</v>
      </c>
      <c r="K16" s="78" t="s">
        <v>170</v>
      </c>
      <c r="L16" s="78" t="s">
        <v>163</v>
      </c>
      <c r="M16" s="78" t="s">
        <v>172</v>
      </c>
      <c r="N16" s="78" t="s">
        <v>173</v>
      </c>
      <c r="P16" s="6"/>
      <c r="Q16" s="112"/>
    </row>
    <row r="17" spans="2:18" x14ac:dyDescent="0.25">
      <c r="B17" s="4">
        <v>1</v>
      </c>
      <c r="C17" s="66">
        <v>270</v>
      </c>
      <c r="D17" s="67"/>
      <c r="E17" s="1" t="s">
        <v>131</v>
      </c>
      <c r="F17" s="68" t="s">
        <v>175</v>
      </c>
      <c r="G17" s="1" t="s">
        <v>181</v>
      </c>
      <c r="H17" s="69">
        <v>46209</v>
      </c>
      <c r="J17" s="83" t="s">
        <v>136</v>
      </c>
      <c r="K17" s="63">
        <f>SUMIF($F$24:$F$99,$J17,$D$24:$D$99)</f>
        <v>0</v>
      </c>
      <c r="L17" s="79">
        <f t="shared" ref="L17:L33" si="1">SUMIF($F$24:$F$99,$J17,$C$24:$C$99)</f>
        <v>16000</v>
      </c>
      <c r="M17" s="80">
        <f t="shared" ref="M17:M33" si="2">IFERROR(K17/SUM(K$17:K$32),"")</f>
        <v>0</v>
      </c>
      <c r="N17" s="81">
        <f t="shared" ref="N17:N33" si="3">IFERROR(L17/SUM(L$17:L$32),"")</f>
        <v>4.0689308315352748E-3</v>
      </c>
      <c r="P17" s="6"/>
      <c r="Q17" s="78"/>
    </row>
    <row r="18" spans="2:18" x14ac:dyDescent="0.25">
      <c r="B18" s="70">
        <v>2</v>
      </c>
      <c r="C18" s="66"/>
      <c r="D18" s="67">
        <v>265.77999999999997</v>
      </c>
      <c r="E18" s="1" t="s">
        <v>131</v>
      </c>
      <c r="F18" s="68" t="s">
        <v>175</v>
      </c>
      <c r="G18" s="68" t="s">
        <v>182</v>
      </c>
      <c r="H18" s="69">
        <v>46209</v>
      </c>
      <c r="J18" s="83" t="s">
        <v>151</v>
      </c>
      <c r="K18" s="63">
        <f t="shared" ref="K18:K33" si="4">SUMIF($F$24:$F$99,$J18,$C$24:$C$99)+SUMIF($F$24:$F$99,$J18,$D$24:$D$99)</f>
        <v>-139930</v>
      </c>
      <c r="L18" s="79">
        <f t="shared" si="1"/>
        <v>40050</v>
      </c>
      <c r="M18" s="80">
        <f t="shared" si="2"/>
        <v>-7.083245282093191E-2</v>
      </c>
      <c r="N18" s="81">
        <f t="shared" si="3"/>
        <v>1.0185042487686735E-2</v>
      </c>
      <c r="P18" s="6"/>
      <c r="Q18" s="113"/>
    </row>
    <row r="19" spans="2:18" x14ac:dyDescent="0.25">
      <c r="B19" s="70"/>
      <c r="C19" s="66"/>
      <c r="D19" s="67"/>
      <c r="E19" s="1"/>
      <c r="F19" s="68"/>
      <c r="G19" s="68"/>
      <c r="H19" s="69"/>
      <c r="J19" s="83" t="s">
        <v>152</v>
      </c>
      <c r="K19" s="63">
        <f t="shared" si="4"/>
        <v>-110800</v>
      </c>
      <c r="L19" s="79">
        <f t="shared" si="1"/>
        <v>34200</v>
      </c>
      <c r="M19" s="80">
        <f t="shared" si="2"/>
        <v>-5.6086870382042853E-2</v>
      </c>
      <c r="N19" s="81">
        <f t="shared" si="3"/>
        <v>8.6973396524066496E-3</v>
      </c>
      <c r="P19" s="6"/>
      <c r="Q19" s="113"/>
    </row>
    <row r="20" spans="2:18" x14ac:dyDescent="0.25">
      <c r="J20" s="83" t="s">
        <v>153</v>
      </c>
      <c r="K20" s="63">
        <f t="shared" si="4"/>
        <v>-33000</v>
      </c>
      <c r="L20" s="79">
        <f t="shared" si="1"/>
        <v>32000</v>
      </c>
      <c r="M20" s="80">
        <f t="shared" si="2"/>
        <v>-1.6704573308731173E-2</v>
      </c>
      <c r="N20" s="81">
        <f t="shared" si="3"/>
        <v>8.1378616630705496E-3</v>
      </c>
      <c r="P20" s="6"/>
      <c r="Q20" s="113"/>
    </row>
    <row r="21" spans="2:18" ht="15.75" thickBot="1" x14ac:dyDescent="0.3">
      <c r="J21" s="83" t="s">
        <v>154</v>
      </c>
      <c r="K21" s="63">
        <f t="shared" si="4"/>
        <v>0</v>
      </c>
      <c r="L21" s="79">
        <f t="shared" si="1"/>
        <v>0</v>
      </c>
      <c r="M21" s="80">
        <f t="shared" si="2"/>
        <v>0</v>
      </c>
      <c r="N21" s="81">
        <f t="shared" si="3"/>
        <v>0</v>
      </c>
      <c r="P21" s="6"/>
    </row>
    <row r="22" spans="2:18" x14ac:dyDescent="0.25">
      <c r="B22" s="245" t="s">
        <v>179</v>
      </c>
      <c r="C22" s="246"/>
      <c r="D22" s="246"/>
      <c r="E22" s="246"/>
      <c r="F22" s="246"/>
      <c r="G22" s="246"/>
      <c r="H22" s="247"/>
      <c r="J22" s="83" t="s">
        <v>137</v>
      </c>
      <c r="K22" s="63">
        <f t="shared" si="4"/>
        <v>-76600</v>
      </c>
      <c r="L22" s="79">
        <f t="shared" si="1"/>
        <v>0</v>
      </c>
      <c r="M22" s="80">
        <f t="shared" si="2"/>
        <v>-3.8774858043903272E-2</v>
      </c>
      <c r="N22" s="81">
        <f t="shared" si="3"/>
        <v>0</v>
      </c>
      <c r="P22" s="6"/>
    </row>
    <row r="23" spans="2:18" x14ac:dyDescent="0.25">
      <c r="B23" s="71" t="s">
        <v>132</v>
      </c>
      <c r="C23" s="72" t="s">
        <v>69</v>
      </c>
      <c r="D23" s="72" t="s">
        <v>122</v>
      </c>
      <c r="E23" s="72" t="s">
        <v>143</v>
      </c>
      <c r="F23" s="72" t="s">
        <v>123</v>
      </c>
      <c r="G23" s="72" t="s">
        <v>129</v>
      </c>
      <c r="H23" s="73" t="s">
        <v>121</v>
      </c>
      <c r="J23" s="83" t="s">
        <v>138</v>
      </c>
      <c r="K23" s="63">
        <f t="shared" si="4"/>
        <v>-33852.49</v>
      </c>
      <c r="L23" s="79">
        <f t="shared" si="1"/>
        <v>1439.91</v>
      </c>
      <c r="M23" s="80">
        <f t="shared" si="2"/>
        <v>-1.7136103057214816E-2</v>
      </c>
      <c r="N23" s="81">
        <f t="shared" si="3"/>
        <v>3.6618088710224737E-4</v>
      </c>
      <c r="P23" s="6"/>
    </row>
    <row r="24" spans="2:18" x14ac:dyDescent="0.25">
      <c r="B24" s="4">
        <v>1</v>
      </c>
      <c r="D24" s="67">
        <v>-18700</v>
      </c>
      <c r="E24" s="1" t="s">
        <v>118</v>
      </c>
      <c r="F24" s="68" t="s">
        <v>137</v>
      </c>
      <c r="G24" s="1" t="s">
        <v>161</v>
      </c>
      <c r="H24" s="69">
        <v>46204</v>
      </c>
      <c r="J24" s="83" t="s">
        <v>139</v>
      </c>
      <c r="K24" s="63">
        <f t="shared" si="4"/>
        <v>0</v>
      </c>
      <c r="L24" s="79">
        <f t="shared" si="1"/>
        <v>0</v>
      </c>
      <c r="M24" s="80">
        <f t="shared" si="2"/>
        <v>0</v>
      </c>
      <c r="N24" s="81">
        <f t="shared" si="3"/>
        <v>0</v>
      </c>
      <c r="P24" s="6"/>
    </row>
    <row r="25" spans="2:18" x14ac:dyDescent="0.25">
      <c r="B25" s="70">
        <v>2</v>
      </c>
      <c r="C25" s="66">
        <v>16000</v>
      </c>
      <c r="D25" s="67"/>
      <c r="E25" s="1" t="s">
        <v>130</v>
      </c>
      <c r="F25" s="68" t="s">
        <v>136</v>
      </c>
      <c r="G25" s="68" t="s">
        <v>133</v>
      </c>
      <c r="H25" s="69">
        <v>46205</v>
      </c>
      <c r="J25" s="83" t="s">
        <v>140</v>
      </c>
      <c r="K25" s="63">
        <f t="shared" si="4"/>
        <v>0</v>
      </c>
      <c r="L25" s="79">
        <f t="shared" si="1"/>
        <v>0</v>
      </c>
      <c r="M25" s="80">
        <f t="shared" si="2"/>
        <v>0</v>
      </c>
      <c r="N25" s="81">
        <f t="shared" si="3"/>
        <v>0</v>
      </c>
      <c r="P25" s="6"/>
    </row>
    <row r="26" spans="2:18" x14ac:dyDescent="0.25">
      <c r="B26" s="70">
        <v>3</v>
      </c>
      <c r="C26" s="66"/>
      <c r="D26" s="67">
        <v>-4800</v>
      </c>
      <c r="E26" s="1" t="s">
        <v>130</v>
      </c>
      <c r="F26" s="68" t="s">
        <v>141</v>
      </c>
      <c r="G26" s="68" t="s">
        <v>134</v>
      </c>
      <c r="H26" s="69">
        <v>46205</v>
      </c>
      <c r="J26" s="83" t="s">
        <v>141</v>
      </c>
      <c r="K26" s="63">
        <f t="shared" si="4"/>
        <v>-71557.600000000006</v>
      </c>
      <c r="L26" s="79">
        <f t="shared" si="1"/>
        <v>153000</v>
      </c>
      <c r="M26" s="80">
        <f t="shared" si="2"/>
        <v>-3.6222399242329152E-2</v>
      </c>
      <c r="N26" s="81">
        <f t="shared" si="3"/>
        <v>3.8909151076556063E-2</v>
      </c>
      <c r="P26" s="6"/>
      <c r="R26" s="63"/>
    </row>
    <row r="27" spans="2:18" x14ac:dyDescent="0.25">
      <c r="B27" s="70">
        <v>4</v>
      </c>
      <c r="C27" s="66"/>
      <c r="D27" s="67">
        <v>-3900</v>
      </c>
      <c r="E27" s="1" t="s">
        <v>130</v>
      </c>
      <c r="F27" s="68" t="s">
        <v>137</v>
      </c>
      <c r="G27" s="68" t="s">
        <v>135</v>
      </c>
      <c r="H27" s="69">
        <v>46205</v>
      </c>
      <c r="J27" s="83" t="s">
        <v>149</v>
      </c>
      <c r="K27" s="63">
        <f t="shared" si="4"/>
        <v>53200</v>
      </c>
      <c r="L27" s="79">
        <f t="shared" si="1"/>
        <v>67500</v>
      </c>
      <c r="M27" s="80">
        <f t="shared" si="2"/>
        <v>2.6929796970439346E-2</v>
      </c>
      <c r="N27" s="81">
        <f t="shared" si="3"/>
        <v>1.716580194553944E-2</v>
      </c>
      <c r="P27" s="6"/>
    </row>
    <row r="28" spans="2:18" x14ac:dyDescent="0.25">
      <c r="B28" s="70">
        <v>5</v>
      </c>
      <c r="C28" s="66"/>
      <c r="D28" s="67">
        <v>-45759</v>
      </c>
      <c r="E28" s="1" t="s">
        <v>130</v>
      </c>
      <c r="F28" s="68" t="s">
        <v>141</v>
      </c>
      <c r="G28" s="68" t="s">
        <v>142</v>
      </c>
      <c r="H28" s="69">
        <v>46205</v>
      </c>
      <c r="J28" s="83" t="s">
        <v>150</v>
      </c>
      <c r="K28" s="63">
        <f t="shared" si="4"/>
        <v>0</v>
      </c>
      <c r="L28" s="79">
        <f t="shared" si="1"/>
        <v>0</v>
      </c>
      <c r="M28" s="80">
        <f t="shared" si="2"/>
        <v>0</v>
      </c>
      <c r="N28" s="81">
        <f t="shared" si="3"/>
        <v>0</v>
      </c>
      <c r="P28" s="6"/>
    </row>
    <row r="29" spans="2:18" x14ac:dyDescent="0.25">
      <c r="B29" s="4">
        <v>6</v>
      </c>
      <c r="C29" s="66">
        <v>20000</v>
      </c>
      <c r="D29" s="67"/>
      <c r="E29" s="1" t="s">
        <v>130</v>
      </c>
      <c r="F29" s="68" t="s">
        <v>141</v>
      </c>
      <c r="G29" s="68" t="s">
        <v>144</v>
      </c>
      <c r="H29" s="69">
        <v>46205</v>
      </c>
      <c r="J29" s="83" t="s">
        <v>158</v>
      </c>
      <c r="K29" s="63">
        <f t="shared" si="4"/>
        <v>2084047</v>
      </c>
      <c r="L29" s="79">
        <f t="shared" si="1"/>
        <v>2084047</v>
      </c>
      <c r="M29" s="80">
        <f t="shared" si="2"/>
        <v>1.0549429057679174</v>
      </c>
      <c r="N29" s="81">
        <f t="shared" si="3"/>
        <v>0.5299901932917872</v>
      </c>
      <c r="P29" s="6"/>
    </row>
    <row r="30" spans="2:18" x14ac:dyDescent="0.25">
      <c r="B30" s="70">
        <v>7</v>
      </c>
      <c r="C30" s="66"/>
      <c r="D30" s="67">
        <v>-1000524.26</v>
      </c>
      <c r="E30" s="1" t="s">
        <v>115</v>
      </c>
      <c r="F30" s="68" t="s">
        <v>165</v>
      </c>
      <c r="G30" s="68" t="s">
        <v>168</v>
      </c>
      <c r="H30" s="69">
        <v>46205</v>
      </c>
      <c r="J30" s="83" t="s">
        <v>157</v>
      </c>
      <c r="K30" s="63">
        <f t="shared" si="4"/>
        <v>304000</v>
      </c>
      <c r="L30" s="79">
        <f t="shared" si="1"/>
        <v>304000</v>
      </c>
      <c r="M30" s="80">
        <f t="shared" si="2"/>
        <v>0.15388455411679627</v>
      </c>
      <c r="N30" s="81">
        <f t="shared" si="3"/>
        <v>7.7309685799170219E-2</v>
      </c>
      <c r="P30" s="6"/>
    </row>
    <row r="31" spans="2:18" x14ac:dyDescent="0.25">
      <c r="B31" s="70">
        <v>8</v>
      </c>
      <c r="C31" s="66">
        <v>1000524.26</v>
      </c>
      <c r="D31" s="67"/>
      <c r="E31" s="1" t="s">
        <v>130</v>
      </c>
      <c r="F31" s="68" t="s">
        <v>165</v>
      </c>
      <c r="G31" s="68" t="s">
        <v>168</v>
      </c>
      <c r="H31" s="69">
        <v>46205</v>
      </c>
      <c r="J31" s="83" t="s">
        <v>159</v>
      </c>
      <c r="K31" s="63">
        <f t="shared" si="4"/>
        <v>0</v>
      </c>
      <c r="L31" s="79">
        <f t="shared" si="1"/>
        <v>0</v>
      </c>
      <c r="M31" s="80">
        <f t="shared" si="2"/>
        <v>0</v>
      </c>
      <c r="N31" s="81">
        <f t="shared" si="3"/>
        <v>0</v>
      </c>
      <c r="P31" s="6"/>
    </row>
    <row r="32" spans="2:18" x14ac:dyDescent="0.25">
      <c r="B32" s="70">
        <v>9</v>
      </c>
      <c r="C32" s="66"/>
      <c r="D32" s="67">
        <v>-1200000</v>
      </c>
      <c r="E32" s="1" t="s">
        <v>130</v>
      </c>
      <c r="F32" s="68" t="s">
        <v>167</v>
      </c>
      <c r="G32" s="68" t="s">
        <v>169</v>
      </c>
      <c r="H32" s="69">
        <v>46205</v>
      </c>
      <c r="J32" s="83" t="s">
        <v>167</v>
      </c>
      <c r="K32" s="63">
        <f t="shared" si="4"/>
        <v>0</v>
      </c>
      <c r="L32" s="79">
        <f t="shared" si="1"/>
        <v>1200000</v>
      </c>
      <c r="M32" s="80">
        <f t="shared" si="2"/>
        <v>0</v>
      </c>
      <c r="N32" s="81">
        <f t="shared" si="3"/>
        <v>0.30516981236514562</v>
      </c>
      <c r="P32" s="6"/>
    </row>
    <row r="33" spans="2:16" ht="15.75" thickBot="1" x14ac:dyDescent="0.3">
      <c r="B33" s="70">
        <v>10</v>
      </c>
      <c r="C33" s="66">
        <v>1200000</v>
      </c>
      <c r="D33" s="67"/>
      <c r="E33" s="68" t="s">
        <v>108</v>
      </c>
      <c r="F33" s="68" t="s">
        <v>167</v>
      </c>
      <c r="G33" s="68" t="s">
        <v>199</v>
      </c>
      <c r="H33" s="69">
        <v>46205</v>
      </c>
      <c r="J33" s="84" t="s">
        <v>175</v>
      </c>
      <c r="K33" s="85">
        <f t="shared" si="4"/>
        <v>-692782.22</v>
      </c>
      <c r="L33" s="86">
        <f t="shared" si="1"/>
        <v>3.62</v>
      </c>
      <c r="M33" s="87">
        <f t="shared" si="2"/>
        <v>-0.35068579942350081</v>
      </c>
      <c r="N33" s="88">
        <f t="shared" si="3"/>
        <v>9.205956006348559E-7</v>
      </c>
      <c r="O33" s="7"/>
      <c r="P33" s="19"/>
    </row>
    <row r="34" spans="2:16" ht="15.75" thickBot="1" x14ac:dyDescent="0.3">
      <c r="B34" s="4">
        <v>11</v>
      </c>
      <c r="C34" s="66"/>
      <c r="D34" s="67">
        <v>-1000</v>
      </c>
      <c r="E34" s="68" t="s">
        <v>130</v>
      </c>
      <c r="F34" s="68" t="s">
        <v>137</v>
      </c>
      <c r="G34" s="68" t="s">
        <v>145</v>
      </c>
      <c r="H34" s="69">
        <v>46206</v>
      </c>
    </row>
    <row r="35" spans="2:16" x14ac:dyDescent="0.25">
      <c r="B35" s="70">
        <v>12</v>
      </c>
      <c r="C35" s="66"/>
      <c r="D35" s="67">
        <v>-27700</v>
      </c>
      <c r="E35" s="68" t="s">
        <v>130</v>
      </c>
      <c r="F35" s="68" t="s">
        <v>152</v>
      </c>
      <c r="G35" s="68" t="s">
        <v>146</v>
      </c>
      <c r="H35" s="69">
        <v>46207</v>
      </c>
      <c r="J35" s="245" t="s">
        <v>115</v>
      </c>
      <c r="K35" s="246"/>
      <c r="L35" s="246"/>
      <c r="M35" s="246"/>
      <c r="N35" s="247"/>
    </row>
    <row r="36" spans="2:16" x14ac:dyDescent="0.25">
      <c r="B36" s="70">
        <v>13</v>
      </c>
      <c r="C36" s="66"/>
      <c r="D36" s="67">
        <v>-43600</v>
      </c>
      <c r="E36" s="68" t="s">
        <v>130</v>
      </c>
      <c r="F36" s="68" t="s">
        <v>152</v>
      </c>
      <c r="G36" s="68" t="s">
        <v>147</v>
      </c>
      <c r="H36" s="69">
        <v>46207</v>
      </c>
      <c r="J36" s="83" t="s">
        <v>115</v>
      </c>
      <c r="K36" s="89">
        <v>46209</v>
      </c>
      <c r="L36" s="89">
        <v>46216</v>
      </c>
      <c r="M36" s="89">
        <v>46223</v>
      </c>
      <c r="N36" s="90">
        <v>46230</v>
      </c>
    </row>
    <row r="37" spans="2:16" x14ac:dyDescent="0.25">
      <c r="B37" s="70">
        <v>14</v>
      </c>
      <c r="C37" s="66">
        <v>11200</v>
      </c>
      <c r="D37" s="67"/>
      <c r="E37" s="68" t="s">
        <v>130</v>
      </c>
      <c r="F37" s="68" t="s">
        <v>152</v>
      </c>
      <c r="G37" s="68" t="s">
        <v>148</v>
      </c>
      <c r="H37" s="69">
        <v>46207</v>
      </c>
      <c r="J37" s="83" t="s">
        <v>183</v>
      </c>
      <c r="K37" s="63">
        <f>$L$5+SUMIFS($C$24:$C$99,$E$24:$E$99,$N5,$H$24:$H$99,"&lt;"&amp;K$36)+SUMIFS($D$24:$D$99,$E$24:$E$99,$N5,$H$24:$H$99,"&lt;="&amp;K$36)</f>
        <v>1496368.7699999998</v>
      </c>
      <c r="L37" s="14">
        <f>$L$5+SUMIFS($C$24:$C$99,$E$24:$E$99,$N5,$H$24:$H$99,"&lt;"&amp;L$36)+SUMIFS($D$24:$D$99,$E$24:$E$99,$N5,$H$24:$H$99,"&lt;="&amp;L$36)</f>
        <v>1496368.7699999998</v>
      </c>
      <c r="M37" s="14">
        <f>$L$5+SUMIFS($C$24:$C$99,$E$24:$E$99,$N5,$H$24:$H$99,"&lt;"&amp;M$36)+SUMIFS($D$24:$D$99,$E$24:$E$99,$N5,$H$24:$H$99,"&lt;="&amp;M$36)</f>
        <v>1496368.7699999998</v>
      </c>
      <c r="N37" s="131">
        <f>$L$5+SUMIFS($C$24:$C$99,$E$24:$E$99,$N5,$H$24:$H$99,"&lt;"&amp;N$36)+SUMIFS($D$24:$D$99,$E$24:$E$99,$N5,$H$24:$H$99,"&lt;="&amp;N$36)</f>
        <v>1356368.7699999998</v>
      </c>
    </row>
    <row r="38" spans="2:16" x14ac:dyDescent="0.25">
      <c r="B38" s="70">
        <v>15</v>
      </c>
      <c r="C38" s="66"/>
      <c r="D38" s="67">
        <v>-1300</v>
      </c>
      <c r="E38" s="68" t="s">
        <v>118</v>
      </c>
      <c r="F38" s="68" t="s">
        <v>149</v>
      </c>
      <c r="G38" s="68" t="s">
        <v>162</v>
      </c>
      <c r="H38" s="69">
        <v>46207</v>
      </c>
      <c r="J38" s="83" t="s">
        <v>184</v>
      </c>
      <c r="K38" s="79">
        <v>1496893.01</v>
      </c>
      <c r="L38" s="14">
        <v>1500050.97</v>
      </c>
      <c r="M38" s="14">
        <v>1506505.38</v>
      </c>
      <c r="N38" s="131">
        <v>1373248.67</v>
      </c>
    </row>
    <row r="39" spans="2:16" x14ac:dyDescent="0.25">
      <c r="B39" s="4">
        <v>16</v>
      </c>
      <c r="C39" s="66">
        <v>6000</v>
      </c>
      <c r="D39" s="67"/>
      <c r="E39" s="68" t="s">
        <v>130</v>
      </c>
      <c r="F39" s="68" t="s">
        <v>152</v>
      </c>
      <c r="G39" s="68" t="s">
        <v>164</v>
      </c>
      <c r="H39" s="69">
        <v>46208</v>
      </c>
      <c r="J39" s="83" t="s">
        <v>185</v>
      </c>
      <c r="K39" s="63">
        <f>IF(K38="","",K38-K37)</f>
        <v>524.24000000022352</v>
      </c>
      <c r="L39" s="63">
        <f t="shared" ref="L39:N39" si="5">IF(L38="","",L38-L37)</f>
        <v>3682.2000000001863</v>
      </c>
      <c r="M39" s="63">
        <f t="shared" si="5"/>
        <v>10136.610000000102</v>
      </c>
      <c r="N39" s="91">
        <f t="shared" si="5"/>
        <v>16879.90000000014</v>
      </c>
    </row>
    <row r="40" spans="2:16" ht="15.75" thickBot="1" x14ac:dyDescent="0.3">
      <c r="B40" s="70">
        <v>17</v>
      </c>
      <c r="C40" s="66"/>
      <c r="D40" s="67">
        <v>-700000</v>
      </c>
      <c r="E40" s="1" t="s">
        <v>115</v>
      </c>
      <c r="F40" s="68" t="s">
        <v>165</v>
      </c>
      <c r="G40" s="68" t="s">
        <v>174</v>
      </c>
      <c r="H40" s="69">
        <v>46209</v>
      </c>
      <c r="J40" s="84" t="s">
        <v>186</v>
      </c>
      <c r="K40" s="92">
        <f>IF(K39="","",((K38-K37)/K37))</f>
        <v>3.5034144691500316E-4</v>
      </c>
      <c r="L40" s="92">
        <f t="shared" ref="L40" si="6">IF(L39="","",((L38-L37)/L37))</f>
        <v>2.4607570498816188E-3</v>
      </c>
      <c r="M40" s="92">
        <f t="shared" ref="M40" si="7">IF(M39="","",((M38-M37)/M37))</f>
        <v>6.7741389711040972E-3</v>
      </c>
      <c r="N40" s="93">
        <f t="shared" ref="N40" si="8">IF(N39="","",((N38-N37)/N37))</f>
        <v>1.2444919385750928E-2</v>
      </c>
    </row>
    <row r="41" spans="2:16" ht="15.75" thickBot="1" x14ac:dyDescent="0.3">
      <c r="B41" s="70">
        <v>18</v>
      </c>
      <c r="C41" s="66">
        <v>700000</v>
      </c>
      <c r="D41" s="67"/>
      <c r="E41" s="68" t="s">
        <v>130</v>
      </c>
      <c r="F41" s="68" t="s">
        <v>165</v>
      </c>
      <c r="G41" s="68" t="s">
        <v>174</v>
      </c>
      <c r="H41" s="69">
        <v>46209</v>
      </c>
      <c r="K41"/>
      <c r="L41"/>
      <c r="M41"/>
      <c r="N41"/>
    </row>
    <row r="42" spans="2:16" x14ac:dyDescent="0.25">
      <c r="B42" s="70">
        <v>19</v>
      </c>
      <c r="C42" s="66"/>
      <c r="D42" s="67">
        <v>-280942.71000000002</v>
      </c>
      <c r="E42" s="68" t="s">
        <v>130</v>
      </c>
      <c r="F42" s="68" t="s">
        <v>175</v>
      </c>
      <c r="G42" s="68" t="s">
        <v>176</v>
      </c>
      <c r="H42" s="69">
        <v>46209</v>
      </c>
      <c r="J42" s="245" t="s">
        <v>195</v>
      </c>
      <c r="K42" s="246"/>
      <c r="L42" s="246"/>
      <c r="M42" s="246"/>
      <c r="N42" s="247"/>
    </row>
    <row r="43" spans="2:16" x14ac:dyDescent="0.25">
      <c r="B43" s="70">
        <v>20</v>
      </c>
      <c r="C43" s="66"/>
      <c r="D43" s="67">
        <v>-407700</v>
      </c>
      <c r="E43" s="68" t="s">
        <v>130</v>
      </c>
      <c r="F43" s="68" t="s">
        <v>175</v>
      </c>
      <c r="G43" s="68" t="s">
        <v>177</v>
      </c>
      <c r="H43" s="69">
        <v>46209</v>
      </c>
      <c r="J43" s="83" t="s">
        <v>121</v>
      </c>
      <c r="K43" s="89">
        <v>46209</v>
      </c>
      <c r="L43" s="89">
        <v>46216</v>
      </c>
      <c r="M43" s="89">
        <v>46223</v>
      </c>
      <c r="N43" s="90">
        <v>46230</v>
      </c>
    </row>
    <row r="44" spans="2:16" x14ac:dyDescent="0.25">
      <c r="B44" s="4">
        <v>21</v>
      </c>
      <c r="C44" s="66">
        <v>65500</v>
      </c>
      <c r="D44" s="67"/>
      <c r="E44" s="68" t="s">
        <v>130</v>
      </c>
      <c r="F44" s="68" t="s">
        <v>157</v>
      </c>
      <c r="G44" s="68" t="s">
        <v>178</v>
      </c>
      <c r="H44" s="69">
        <v>46209</v>
      </c>
      <c r="J44" s="83" t="s">
        <v>196</v>
      </c>
      <c r="K44" s="63">
        <f>$L$4+SUMIFS($D$24:$D$99,$G$24:$G$99,"Transferencia a Petrini",$H$24:$H$99,"&lt;"&amp;K$36)*-1+SUMIFS($D$24:$D$99,$G$24:$G$99,"Transferencia de Petrini",$H$24:$H$99,"&lt;"&amp;K$36)</f>
        <v>1647262.62</v>
      </c>
      <c r="L44" s="63">
        <f>$L$4+SUMIFS($D$24:$D$99,$G$24:$G$99,"Transferencia a Petrini",$H$24:$H$99,"&lt;"&amp;L$36)*-1+SUMIFS($D$24:$D$99,$G$24:$G$99,"Transferencia de Petrini",$H$24:$H$99,"&lt;"&amp;L$36)</f>
        <v>1647262.62</v>
      </c>
      <c r="M44" s="63">
        <f>$L$4+SUMIFS($D$24:$D$99,$G$24:$G$99,"Transferencia a Petrini",$H$24:$H$99,"&lt;"&amp;M$36)*-1+SUMIFS($D$24:$D$99,$G$24:$G$99,"Transferencia de Petrini",$H$24:$H$99,"&lt;"&amp;M$36)</f>
        <v>1647262.62</v>
      </c>
      <c r="N44" s="131">
        <f>$L$4+SUMIFS($D$24:$D$99,$G$24:$G$99,"Transferencia a Petrini",$H$24:$H$99,"&lt;"&amp;N$36)*-1+SUMIFS($D$24:$D$99,$G$24:$G$99,"Transferencia de Petrini",$H$24:$H$99,"&lt;"&amp;N$36)</f>
        <v>1647262.62</v>
      </c>
    </row>
    <row r="45" spans="2:16" x14ac:dyDescent="0.25">
      <c r="B45" s="70">
        <v>22</v>
      </c>
      <c r="C45" s="66"/>
      <c r="D45" s="67">
        <v>-53000</v>
      </c>
      <c r="E45" s="68" t="s">
        <v>130</v>
      </c>
      <c r="F45" s="68" t="s">
        <v>201</v>
      </c>
      <c r="G45" s="68" t="s">
        <v>203</v>
      </c>
      <c r="H45" s="69">
        <v>46209</v>
      </c>
      <c r="J45" s="83" t="s">
        <v>197</v>
      </c>
      <c r="K45" s="79">
        <v>1649566.57</v>
      </c>
      <c r="L45" s="14">
        <v>1652959.29</v>
      </c>
      <c r="M45" s="63">
        <v>1648847.91</v>
      </c>
      <c r="N45" s="131">
        <v>1660541.27</v>
      </c>
    </row>
    <row r="46" spans="2:16" x14ac:dyDescent="0.25">
      <c r="B46" s="70">
        <v>23</v>
      </c>
      <c r="C46" s="66"/>
      <c r="D46" s="67">
        <v>-4143.13</v>
      </c>
      <c r="E46" s="68" t="s">
        <v>130</v>
      </c>
      <c r="F46" s="68" t="s">
        <v>175</v>
      </c>
      <c r="G46" s="68" t="s">
        <v>204</v>
      </c>
      <c r="H46" s="69">
        <v>46211</v>
      </c>
      <c r="J46" s="83" t="s">
        <v>185</v>
      </c>
      <c r="K46" s="63">
        <f>IF(K45="","",K45-K44)</f>
        <v>2303.9499999999534</v>
      </c>
      <c r="L46" s="63">
        <f t="shared" ref="L46:N46" si="9">IF(L45="","",L45-L44)</f>
        <v>5696.6699999999255</v>
      </c>
      <c r="M46" s="63">
        <f t="shared" si="9"/>
        <v>1585.2899999998044</v>
      </c>
      <c r="N46" s="91">
        <f t="shared" si="9"/>
        <v>13278.649999999907</v>
      </c>
    </row>
    <row r="47" spans="2:16" ht="15.75" thickBot="1" x14ac:dyDescent="0.3">
      <c r="B47" s="70">
        <v>24</v>
      </c>
      <c r="C47" s="66"/>
      <c r="D47" s="67">
        <v>-40000</v>
      </c>
      <c r="E47" s="68" t="s">
        <v>130</v>
      </c>
      <c r="F47" s="68" t="s">
        <v>202</v>
      </c>
      <c r="G47" s="1" t="s">
        <v>226</v>
      </c>
      <c r="H47" s="69">
        <v>46211</v>
      </c>
      <c r="J47" s="84" t="s">
        <v>186</v>
      </c>
      <c r="K47" s="92">
        <f>IF(K46="","",((K45-K44)/K44))</f>
        <v>1.398653725293635E-3</v>
      </c>
      <c r="L47" s="92">
        <f t="shared" ref="L47:N47" si="10">IF(L46="","",((L45-L44)/L44))</f>
        <v>3.4582645965704757E-3</v>
      </c>
      <c r="M47" s="92">
        <f t="shared" si="10"/>
        <v>9.623784214807256E-4</v>
      </c>
      <c r="N47" s="93">
        <f t="shared" si="10"/>
        <v>8.0610400787215746E-3</v>
      </c>
    </row>
    <row r="48" spans="2:16" x14ac:dyDescent="0.25">
      <c r="B48" s="70">
        <v>25</v>
      </c>
      <c r="C48" s="66">
        <v>103000</v>
      </c>
      <c r="D48" s="67"/>
      <c r="E48" s="68" t="s">
        <v>130</v>
      </c>
      <c r="F48" s="68" t="s">
        <v>141</v>
      </c>
      <c r="G48" s="68" t="s">
        <v>206</v>
      </c>
      <c r="H48" s="69">
        <v>46211</v>
      </c>
    </row>
    <row r="49" spans="2:11" x14ac:dyDescent="0.25">
      <c r="B49" s="4">
        <v>26</v>
      </c>
      <c r="C49" s="66"/>
      <c r="D49" s="67">
        <v>-120000</v>
      </c>
      <c r="E49" s="68" t="s">
        <v>130</v>
      </c>
      <c r="F49" s="68" t="s">
        <v>141</v>
      </c>
      <c r="G49" s="68" t="s">
        <v>206</v>
      </c>
      <c r="H49" s="69">
        <v>46211</v>
      </c>
    </row>
    <row r="50" spans="2:11" x14ac:dyDescent="0.25">
      <c r="B50" s="70">
        <v>27</v>
      </c>
      <c r="C50" s="66"/>
      <c r="D50" s="67">
        <v>-3500</v>
      </c>
      <c r="E50" s="68" t="s">
        <v>130</v>
      </c>
      <c r="F50" s="68" t="s">
        <v>141</v>
      </c>
      <c r="G50" s="68" t="s">
        <v>207</v>
      </c>
      <c r="H50" s="69">
        <v>46211</v>
      </c>
      <c r="K50" s="137"/>
    </row>
    <row r="51" spans="2:11" x14ac:dyDescent="0.25">
      <c r="B51" s="70">
        <v>28</v>
      </c>
      <c r="C51" s="66"/>
      <c r="D51" s="67">
        <v>-17115</v>
      </c>
      <c r="E51" s="68" t="s">
        <v>130</v>
      </c>
      <c r="F51" s="68" t="s">
        <v>141</v>
      </c>
      <c r="G51" s="68" t="s">
        <v>208</v>
      </c>
      <c r="H51" s="69">
        <v>46214</v>
      </c>
    </row>
    <row r="52" spans="2:11" x14ac:dyDescent="0.25">
      <c r="B52" s="70">
        <v>29</v>
      </c>
      <c r="C52" s="66">
        <v>30000</v>
      </c>
      <c r="D52" s="67"/>
      <c r="E52" s="68" t="s">
        <v>130</v>
      </c>
      <c r="F52" s="68" t="s">
        <v>141</v>
      </c>
      <c r="G52" s="68" t="s">
        <v>209</v>
      </c>
      <c r="H52" s="69">
        <v>46214</v>
      </c>
    </row>
    <row r="53" spans="2:11" x14ac:dyDescent="0.25">
      <c r="B53" s="70">
        <v>30</v>
      </c>
      <c r="C53" s="66">
        <v>67500</v>
      </c>
      <c r="D53" s="67"/>
      <c r="E53" s="68" t="s">
        <v>130</v>
      </c>
      <c r="F53" s="68" t="s">
        <v>157</v>
      </c>
      <c r="G53" s="68" t="s">
        <v>210</v>
      </c>
      <c r="H53" s="69">
        <v>46216</v>
      </c>
    </row>
    <row r="54" spans="2:11" x14ac:dyDescent="0.25">
      <c r="B54" s="4">
        <v>31</v>
      </c>
      <c r="C54" s="66"/>
      <c r="D54" s="67">
        <v>-6883.6</v>
      </c>
      <c r="E54" s="68" t="s">
        <v>130</v>
      </c>
      <c r="F54" s="68" t="s">
        <v>141</v>
      </c>
      <c r="G54" s="68" t="s">
        <v>211</v>
      </c>
      <c r="H54" s="69">
        <v>46220</v>
      </c>
    </row>
    <row r="55" spans="2:11" x14ac:dyDescent="0.25">
      <c r="B55" s="70">
        <v>32</v>
      </c>
      <c r="C55" s="66"/>
      <c r="D55" s="67">
        <v>-2000</v>
      </c>
      <c r="E55" s="1" t="s">
        <v>130</v>
      </c>
      <c r="F55" s="1" t="s">
        <v>137</v>
      </c>
      <c r="G55" s="1" t="s">
        <v>145</v>
      </c>
      <c r="H55" s="69">
        <v>46220</v>
      </c>
    </row>
    <row r="56" spans="2:11" x14ac:dyDescent="0.25">
      <c r="B56" s="70">
        <v>33</v>
      </c>
      <c r="C56" s="66"/>
      <c r="D56" s="67">
        <v>-35400</v>
      </c>
      <c r="E56" s="1" t="s">
        <v>130</v>
      </c>
      <c r="F56" s="1" t="s">
        <v>152</v>
      </c>
      <c r="G56" s="1" t="s">
        <v>212</v>
      </c>
      <c r="H56" s="69">
        <v>46220</v>
      </c>
    </row>
    <row r="57" spans="2:11" x14ac:dyDescent="0.25">
      <c r="B57" s="70">
        <v>34</v>
      </c>
      <c r="C57" s="66">
        <v>17000</v>
      </c>
      <c r="D57" s="67"/>
      <c r="E57" s="1" t="s">
        <v>130</v>
      </c>
      <c r="F57" s="1" t="s">
        <v>152</v>
      </c>
      <c r="G57" s="1" t="s">
        <v>213</v>
      </c>
      <c r="H57" s="69">
        <v>46220</v>
      </c>
    </row>
    <row r="58" spans="2:11" x14ac:dyDescent="0.25">
      <c r="B58" s="70">
        <v>35</v>
      </c>
      <c r="C58" s="66">
        <v>3.62</v>
      </c>
      <c r="D58" s="67"/>
      <c r="E58" s="1" t="s">
        <v>130</v>
      </c>
      <c r="F58" s="1" t="s">
        <v>175</v>
      </c>
      <c r="G58" s="1" t="s">
        <v>214</v>
      </c>
      <c r="H58" s="135">
        <v>46220</v>
      </c>
    </row>
    <row r="59" spans="2:11" x14ac:dyDescent="0.25">
      <c r="B59" s="4">
        <v>36</v>
      </c>
      <c r="C59" s="66"/>
      <c r="D59" s="67">
        <v>-31000</v>
      </c>
      <c r="E59" s="1" t="s">
        <v>130</v>
      </c>
      <c r="F59" s="1" t="s">
        <v>151</v>
      </c>
      <c r="G59" s="1" t="s">
        <v>215</v>
      </c>
      <c r="H59" s="135">
        <v>46221</v>
      </c>
    </row>
    <row r="60" spans="2:11" x14ac:dyDescent="0.25">
      <c r="B60" s="70">
        <v>37</v>
      </c>
      <c r="C60" s="66"/>
      <c r="D60" s="67">
        <v>-10000</v>
      </c>
      <c r="E60" s="1" t="s">
        <v>130</v>
      </c>
      <c r="F60" s="1" t="s">
        <v>151</v>
      </c>
      <c r="G60" s="1" t="s">
        <v>216</v>
      </c>
      <c r="H60" s="135">
        <v>46221</v>
      </c>
    </row>
    <row r="61" spans="2:11" x14ac:dyDescent="0.25">
      <c r="B61" s="70">
        <v>38</v>
      </c>
      <c r="C61" s="66"/>
      <c r="D61" s="67">
        <f>(73100+7000)*-1</f>
        <v>-80100</v>
      </c>
      <c r="E61" s="1" t="s">
        <v>130</v>
      </c>
      <c r="F61" s="1" t="s">
        <v>151</v>
      </c>
      <c r="G61" s="1" t="s">
        <v>217</v>
      </c>
      <c r="H61" s="135">
        <v>46221</v>
      </c>
    </row>
    <row r="62" spans="2:11" x14ac:dyDescent="0.25">
      <c r="B62" s="70">
        <v>39</v>
      </c>
      <c r="C62" s="66">
        <f>36550+3500</f>
        <v>40050</v>
      </c>
      <c r="D62" s="67"/>
      <c r="E62" s="1" t="s">
        <v>130</v>
      </c>
      <c r="F62" s="1" t="s">
        <v>151</v>
      </c>
      <c r="G62" s="1" t="s">
        <v>217</v>
      </c>
      <c r="H62" s="135">
        <v>46221</v>
      </c>
    </row>
    <row r="63" spans="2:11" x14ac:dyDescent="0.25">
      <c r="B63" s="70">
        <v>40</v>
      </c>
      <c r="C63" s="66"/>
      <c r="D63" s="67">
        <v>-8000</v>
      </c>
      <c r="E63" s="1" t="s">
        <v>130</v>
      </c>
      <c r="F63" s="1" t="s">
        <v>152</v>
      </c>
      <c r="G63" s="1" t="s">
        <v>218</v>
      </c>
      <c r="H63" s="135">
        <v>46221</v>
      </c>
    </row>
    <row r="64" spans="2:11" x14ac:dyDescent="0.25">
      <c r="B64" s="4">
        <v>41</v>
      </c>
      <c r="C64" s="66"/>
      <c r="D64" s="67">
        <v>-11180</v>
      </c>
      <c r="E64" s="1" t="s">
        <v>130</v>
      </c>
      <c r="F64" s="1" t="s">
        <v>151</v>
      </c>
      <c r="G64" s="1" t="s">
        <v>219</v>
      </c>
      <c r="H64" s="135">
        <v>46222</v>
      </c>
    </row>
    <row r="65" spans="2:8" x14ac:dyDescent="0.25">
      <c r="B65" s="70">
        <v>42</v>
      </c>
      <c r="C65" s="66">
        <v>106500</v>
      </c>
      <c r="D65" s="67"/>
      <c r="E65" s="1" t="s">
        <v>130</v>
      </c>
      <c r="F65" s="1" t="s">
        <v>157</v>
      </c>
      <c r="G65" s="1" t="s">
        <v>220</v>
      </c>
      <c r="H65" s="135">
        <v>46223</v>
      </c>
    </row>
    <row r="66" spans="2:8" x14ac:dyDescent="0.25">
      <c r="B66" s="70">
        <v>43</v>
      </c>
      <c r="C66" s="66"/>
      <c r="D66" s="67">
        <v>-34100</v>
      </c>
      <c r="E66" s="1" t="s">
        <v>130</v>
      </c>
      <c r="F66" s="1" t="s">
        <v>151</v>
      </c>
      <c r="G66" s="1" t="s">
        <v>219</v>
      </c>
      <c r="H66" s="135">
        <v>46223</v>
      </c>
    </row>
    <row r="67" spans="2:8" x14ac:dyDescent="0.25">
      <c r="B67" s="70">
        <v>44</v>
      </c>
      <c r="C67" s="66"/>
      <c r="D67" s="67">
        <v>-42386.74</v>
      </c>
      <c r="E67" s="1" t="s">
        <v>130</v>
      </c>
      <c r="F67" s="1" t="s">
        <v>221</v>
      </c>
      <c r="G67" s="136">
        <v>46174</v>
      </c>
      <c r="H67" s="135">
        <v>46223</v>
      </c>
    </row>
    <row r="68" spans="2:8" x14ac:dyDescent="0.25">
      <c r="B68" s="70">
        <v>45</v>
      </c>
      <c r="C68" s="66"/>
      <c r="D68" s="67">
        <v>-13000</v>
      </c>
      <c r="E68" s="1" t="s">
        <v>130</v>
      </c>
      <c r="F68" s="1" t="s">
        <v>149</v>
      </c>
      <c r="G68" s="1" t="s">
        <v>222</v>
      </c>
      <c r="H68" s="135">
        <v>46224</v>
      </c>
    </row>
    <row r="69" spans="2:8" x14ac:dyDescent="0.25">
      <c r="B69" s="4">
        <v>46</v>
      </c>
      <c r="C69" s="66"/>
      <c r="D69" s="67">
        <v>-13300</v>
      </c>
      <c r="E69" s="1" t="s">
        <v>130</v>
      </c>
      <c r="F69" s="1" t="s">
        <v>152</v>
      </c>
      <c r="G69" s="1" t="s">
        <v>223</v>
      </c>
      <c r="H69" s="135">
        <v>46224</v>
      </c>
    </row>
    <row r="70" spans="2:8" x14ac:dyDescent="0.25">
      <c r="B70" s="70">
        <v>47</v>
      </c>
      <c r="C70" s="66"/>
      <c r="D70" s="67">
        <v>-40000</v>
      </c>
      <c r="E70" s="1" t="s">
        <v>115</v>
      </c>
      <c r="F70" s="68" t="s">
        <v>165</v>
      </c>
      <c r="G70" s="68" t="s">
        <v>224</v>
      </c>
      <c r="H70" s="135">
        <v>46225</v>
      </c>
    </row>
    <row r="71" spans="2:8" x14ac:dyDescent="0.25">
      <c r="B71" s="70">
        <v>48</v>
      </c>
      <c r="C71" s="66">
        <v>40000</v>
      </c>
      <c r="D71" s="67"/>
      <c r="E71" s="68" t="s">
        <v>130</v>
      </c>
      <c r="F71" s="68" t="s">
        <v>165</v>
      </c>
      <c r="G71" s="68" t="s">
        <v>224</v>
      </c>
      <c r="H71" s="135">
        <v>46225</v>
      </c>
    </row>
    <row r="72" spans="2:8" x14ac:dyDescent="0.25">
      <c r="B72" s="70">
        <v>49</v>
      </c>
      <c r="C72" s="66"/>
      <c r="D72" s="67">
        <v>-45000</v>
      </c>
      <c r="E72" s="68" t="s">
        <v>130</v>
      </c>
      <c r="F72" s="1" t="s">
        <v>202</v>
      </c>
      <c r="G72" s="1" t="s">
        <v>225</v>
      </c>
      <c r="H72" s="135">
        <v>46225</v>
      </c>
    </row>
    <row r="73" spans="2:8" x14ac:dyDescent="0.25">
      <c r="B73" s="70">
        <v>50</v>
      </c>
      <c r="C73" s="66">
        <v>22500</v>
      </c>
      <c r="D73" s="67"/>
      <c r="E73" s="1" t="s">
        <v>130</v>
      </c>
      <c r="F73" s="1" t="s">
        <v>149</v>
      </c>
      <c r="G73" s="1" t="s">
        <v>227</v>
      </c>
      <c r="H73" s="135">
        <v>46225</v>
      </c>
    </row>
    <row r="74" spans="2:8" x14ac:dyDescent="0.25">
      <c r="B74" s="4">
        <v>51</v>
      </c>
      <c r="C74" s="66">
        <v>22500</v>
      </c>
      <c r="D74" s="67"/>
      <c r="E74" s="1" t="s">
        <v>130</v>
      </c>
      <c r="F74" s="1" t="s">
        <v>149</v>
      </c>
      <c r="G74" s="1" t="s">
        <v>228</v>
      </c>
      <c r="H74" s="135">
        <v>46225</v>
      </c>
    </row>
    <row r="75" spans="2:8" x14ac:dyDescent="0.25">
      <c r="B75" s="70">
        <v>52</v>
      </c>
      <c r="C75" s="66">
        <v>22500</v>
      </c>
      <c r="D75" s="67"/>
      <c r="E75" s="1" t="s">
        <v>130</v>
      </c>
      <c r="F75" s="1" t="s">
        <v>149</v>
      </c>
      <c r="G75" s="1" t="s">
        <v>229</v>
      </c>
      <c r="H75" s="135">
        <v>46225</v>
      </c>
    </row>
    <row r="76" spans="2:8" x14ac:dyDescent="0.25">
      <c r="B76" s="70">
        <v>53</v>
      </c>
      <c r="C76" s="66"/>
      <c r="D76" s="67">
        <v>-22980</v>
      </c>
      <c r="E76" s="1" t="s">
        <v>130</v>
      </c>
      <c r="F76" s="1" t="s">
        <v>230</v>
      </c>
      <c r="G76" s="1" t="s">
        <v>231</v>
      </c>
      <c r="H76" s="135">
        <v>46225</v>
      </c>
    </row>
    <row r="77" spans="2:8" x14ac:dyDescent="0.25">
      <c r="B77" s="70">
        <v>54</v>
      </c>
      <c r="C77" s="66"/>
      <c r="D77" s="67">
        <v>-10000</v>
      </c>
      <c r="E77" s="1" t="s">
        <v>130</v>
      </c>
      <c r="F77" s="1" t="s">
        <v>230</v>
      </c>
      <c r="G77" s="1" t="s">
        <v>232</v>
      </c>
      <c r="H77" s="135">
        <v>46225</v>
      </c>
    </row>
    <row r="78" spans="2:8" x14ac:dyDescent="0.25">
      <c r="B78" s="70">
        <v>55</v>
      </c>
      <c r="C78" s="66"/>
      <c r="D78" s="67">
        <v>-4000</v>
      </c>
      <c r="E78" s="1" t="s">
        <v>118</v>
      </c>
      <c r="F78" s="1" t="s">
        <v>137</v>
      </c>
      <c r="G78" s="1" t="s">
        <v>233</v>
      </c>
      <c r="H78" s="135">
        <v>46225</v>
      </c>
    </row>
    <row r="79" spans="2:8" x14ac:dyDescent="0.25">
      <c r="B79" s="4">
        <v>56</v>
      </c>
      <c r="C79" s="66"/>
      <c r="D79" s="67">
        <v>-4000</v>
      </c>
      <c r="E79" s="1" t="s">
        <v>118</v>
      </c>
      <c r="F79" s="1" t="s">
        <v>153</v>
      </c>
      <c r="G79" s="1" t="s">
        <v>234</v>
      </c>
      <c r="H79" s="135">
        <v>46227</v>
      </c>
    </row>
    <row r="80" spans="2:8" x14ac:dyDescent="0.25">
      <c r="B80" s="70">
        <v>57</v>
      </c>
      <c r="C80" s="66">
        <v>64500</v>
      </c>
      <c r="D80" s="67"/>
      <c r="E80" s="1" t="s">
        <v>130</v>
      </c>
      <c r="F80" s="1" t="s">
        <v>157</v>
      </c>
      <c r="G80" s="1" t="s">
        <v>235</v>
      </c>
      <c r="H80" s="135">
        <v>46227</v>
      </c>
    </row>
    <row r="81" spans="2:8" x14ac:dyDescent="0.25">
      <c r="B81" s="70">
        <v>58</v>
      </c>
      <c r="C81" s="66">
        <v>100000</v>
      </c>
      <c r="D81" s="67"/>
      <c r="E81" s="68" t="s">
        <v>130</v>
      </c>
      <c r="F81" s="68" t="s">
        <v>165</v>
      </c>
      <c r="G81" s="68" t="s">
        <v>236</v>
      </c>
      <c r="H81" s="135">
        <v>46227</v>
      </c>
    </row>
    <row r="82" spans="2:8" x14ac:dyDescent="0.25">
      <c r="B82" s="70">
        <v>59</v>
      </c>
      <c r="C82" s="66"/>
      <c r="D82" s="67">
        <v>-100000</v>
      </c>
      <c r="E82" s="68" t="s">
        <v>115</v>
      </c>
      <c r="F82" s="1" t="s">
        <v>165</v>
      </c>
      <c r="G82" s="68" t="s">
        <v>236</v>
      </c>
      <c r="H82" s="135">
        <v>46227</v>
      </c>
    </row>
    <row r="83" spans="2:8" x14ac:dyDescent="0.25">
      <c r="B83" s="70">
        <v>60</v>
      </c>
      <c r="C83" s="66"/>
      <c r="D83" s="67">
        <v>-45000</v>
      </c>
      <c r="E83" s="1" t="s">
        <v>130</v>
      </c>
      <c r="F83" s="1" t="s">
        <v>153</v>
      </c>
      <c r="G83" s="1" t="s">
        <v>237</v>
      </c>
      <c r="H83" s="135">
        <v>46227</v>
      </c>
    </row>
    <row r="84" spans="2:8" x14ac:dyDescent="0.25">
      <c r="B84" s="4">
        <v>61</v>
      </c>
      <c r="C84" s="66"/>
      <c r="D84" s="67">
        <v>-2000</v>
      </c>
      <c r="E84" s="1" t="s">
        <v>118</v>
      </c>
      <c r="F84" s="1" t="s">
        <v>153</v>
      </c>
      <c r="G84" s="1" t="s">
        <v>246</v>
      </c>
      <c r="H84" s="135">
        <v>46227</v>
      </c>
    </row>
    <row r="85" spans="2:8" x14ac:dyDescent="0.25">
      <c r="B85" s="70">
        <v>62</v>
      </c>
      <c r="C85" s="66">
        <v>16000</v>
      </c>
      <c r="D85" s="67"/>
      <c r="E85" s="1" t="s">
        <v>130</v>
      </c>
      <c r="F85" s="1" t="s">
        <v>153</v>
      </c>
      <c r="G85" s="1" t="s">
        <v>238</v>
      </c>
      <c r="H85" s="135">
        <v>46227</v>
      </c>
    </row>
    <row r="86" spans="2:8" x14ac:dyDescent="0.25">
      <c r="B86" s="70">
        <v>63</v>
      </c>
      <c r="C86" s="66">
        <v>16000</v>
      </c>
      <c r="D86" s="67"/>
      <c r="E86" s="1" t="s">
        <v>130</v>
      </c>
      <c r="F86" s="1" t="s">
        <v>153</v>
      </c>
      <c r="G86" s="1" t="s">
        <v>239</v>
      </c>
      <c r="H86" s="135">
        <v>46227</v>
      </c>
    </row>
    <row r="87" spans="2:8" x14ac:dyDescent="0.25">
      <c r="B87" s="70">
        <v>64</v>
      </c>
      <c r="C87" s="66"/>
      <c r="D87" s="67">
        <v>-14000</v>
      </c>
      <c r="E87" s="1" t="s">
        <v>130</v>
      </c>
      <c r="F87" s="1" t="s">
        <v>153</v>
      </c>
      <c r="G87" s="1" t="s">
        <v>240</v>
      </c>
      <c r="H87" s="135">
        <v>46227</v>
      </c>
    </row>
    <row r="88" spans="2:8" x14ac:dyDescent="0.25">
      <c r="B88" s="70">
        <v>65</v>
      </c>
      <c r="C88" s="66"/>
      <c r="D88" s="67">
        <v>-26500</v>
      </c>
      <c r="E88" s="1" t="s">
        <v>130</v>
      </c>
      <c r="F88" s="1" t="s">
        <v>141</v>
      </c>
      <c r="G88" s="1" t="s">
        <v>241</v>
      </c>
      <c r="H88" s="135">
        <v>46228</v>
      </c>
    </row>
    <row r="89" spans="2:8" x14ac:dyDescent="0.25">
      <c r="B89" s="4">
        <v>66</v>
      </c>
      <c r="C89" s="66"/>
      <c r="D89" s="67">
        <v>-17000</v>
      </c>
      <c r="E89" s="1" t="s">
        <v>130</v>
      </c>
      <c r="F89" s="1" t="s">
        <v>152</v>
      </c>
      <c r="G89" s="1" t="s">
        <v>242</v>
      </c>
      <c r="H89" s="135">
        <v>46228</v>
      </c>
    </row>
    <row r="90" spans="2:8" x14ac:dyDescent="0.25">
      <c r="B90" s="70">
        <v>67</v>
      </c>
      <c r="C90" s="66"/>
      <c r="D90" s="67">
        <v>-9599.4</v>
      </c>
      <c r="E90" s="1" t="s">
        <v>130</v>
      </c>
      <c r="F90" s="1" t="s">
        <v>138</v>
      </c>
      <c r="G90" s="1" t="s">
        <v>243</v>
      </c>
      <c r="H90" s="135">
        <v>46228</v>
      </c>
    </row>
    <row r="91" spans="2:8" x14ac:dyDescent="0.25">
      <c r="B91" s="70">
        <v>68</v>
      </c>
      <c r="C91" s="66">
        <v>1439.91</v>
      </c>
      <c r="D91" s="67"/>
      <c r="E91" s="1" t="s">
        <v>130</v>
      </c>
      <c r="F91" s="1" t="s">
        <v>138</v>
      </c>
      <c r="G91" s="1" t="s">
        <v>243</v>
      </c>
      <c r="H91" s="135">
        <v>46228</v>
      </c>
    </row>
    <row r="92" spans="2:8" x14ac:dyDescent="0.25">
      <c r="B92" s="70">
        <v>69</v>
      </c>
      <c r="C92" s="66"/>
      <c r="D92" s="67">
        <v>-42000</v>
      </c>
      <c r="E92" s="1" t="s">
        <v>130</v>
      </c>
      <c r="F92" s="1" t="s">
        <v>137</v>
      </c>
      <c r="G92" s="1" t="s">
        <v>244</v>
      </c>
      <c r="H92" s="135">
        <v>46594</v>
      </c>
    </row>
    <row r="93" spans="2:8" x14ac:dyDescent="0.25">
      <c r="B93" s="70">
        <v>70</v>
      </c>
      <c r="C93" s="66">
        <v>29790</v>
      </c>
      <c r="D93" s="67"/>
      <c r="E93" s="1" t="s">
        <v>130</v>
      </c>
      <c r="F93" s="1" t="s">
        <v>202</v>
      </c>
      <c r="G93" s="1" t="s">
        <v>245</v>
      </c>
      <c r="H93" s="135">
        <v>46231</v>
      </c>
    </row>
    <row r="94" spans="2:8" x14ac:dyDescent="0.25">
      <c r="B94" s="4">
        <v>71</v>
      </c>
      <c r="C94" s="66"/>
      <c r="D94" s="67">
        <v>-53000</v>
      </c>
      <c r="E94" s="1" t="s">
        <v>130</v>
      </c>
      <c r="F94" s="1" t="s">
        <v>201</v>
      </c>
      <c r="G94" s="1" t="s">
        <v>16</v>
      </c>
      <c r="H94" s="135">
        <v>46231</v>
      </c>
    </row>
    <row r="95" spans="2:8" x14ac:dyDescent="0.25">
      <c r="B95" s="70">
        <v>72</v>
      </c>
      <c r="C95" s="66"/>
      <c r="D95" s="67">
        <v>-25693</v>
      </c>
      <c r="E95" s="1" t="s">
        <v>130</v>
      </c>
      <c r="F95" s="1" t="s">
        <v>138</v>
      </c>
      <c r="G95" s="1" t="s">
        <v>247</v>
      </c>
      <c r="H95" s="135">
        <v>46232</v>
      </c>
    </row>
    <row r="96" spans="2:8" x14ac:dyDescent="0.25">
      <c r="B96" s="70">
        <v>73</v>
      </c>
      <c r="C96" s="66"/>
      <c r="D96" s="67">
        <v>-13600</v>
      </c>
      <c r="E96" s="1" t="s">
        <v>130</v>
      </c>
      <c r="F96" s="1" t="s">
        <v>151</v>
      </c>
      <c r="G96" s="1" t="s">
        <v>248</v>
      </c>
      <c r="H96" s="135">
        <v>46232</v>
      </c>
    </row>
    <row r="97" spans="2:14" x14ac:dyDescent="0.25">
      <c r="B97" s="70">
        <v>74</v>
      </c>
      <c r="C97" s="66"/>
      <c r="D97" s="67">
        <v>-5000</v>
      </c>
      <c r="E97" s="1" t="s">
        <v>118</v>
      </c>
      <c r="F97" s="1" t="s">
        <v>137</v>
      </c>
      <c r="G97" s="1" t="s">
        <v>258</v>
      </c>
      <c r="H97" s="135">
        <v>46233</v>
      </c>
    </row>
    <row r="98" spans="2:14" x14ac:dyDescent="0.25">
      <c r="B98" s="70">
        <v>75</v>
      </c>
      <c r="C98" s="66">
        <v>2084047</v>
      </c>
      <c r="D98" s="67"/>
      <c r="E98" s="1" t="s">
        <v>130</v>
      </c>
      <c r="F98" s="1" t="s">
        <v>158</v>
      </c>
      <c r="G98" s="1" t="s">
        <v>249</v>
      </c>
      <c r="H98" s="135">
        <v>46234</v>
      </c>
    </row>
    <row r="99" spans="2:14" ht="15.75" thickBot="1" x14ac:dyDescent="0.3">
      <c r="B99" s="8">
        <v>76</v>
      </c>
      <c r="C99" s="133"/>
      <c r="D99" s="134">
        <v>-25000</v>
      </c>
      <c r="E99" s="9" t="s">
        <v>130</v>
      </c>
      <c r="F99" s="9" t="s">
        <v>250</v>
      </c>
      <c r="G99" s="9" t="s">
        <v>251</v>
      </c>
      <c r="H99" s="140">
        <v>46234</v>
      </c>
    </row>
    <row r="100" spans="2:14" x14ac:dyDescent="0.25">
      <c r="D100" s="1"/>
      <c r="E100" s="1"/>
      <c r="F100" s="1"/>
      <c r="G100" s="1"/>
      <c r="H100"/>
      <c r="K100"/>
      <c r="L100"/>
      <c r="M100"/>
      <c r="N100"/>
    </row>
    <row r="101" spans="2:14" x14ac:dyDescent="0.25">
      <c r="D101" s="1"/>
      <c r="E101" s="1"/>
      <c r="F101" s="1"/>
      <c r="G101" s="1"/>
      <c r="H101"/>
      <c r="K101"/>
      <c r="L101"/>
      <c r="M101"/>
      <c r="N101"/>
    </row>
    <row r="102" spans="2:14" x14ac:dyDescent="0.25">
      <c r="D102" s="1"/>
      <c r="E102" s="1"/>
      <c r="F102" s="1"/>
      <c r="G102" s="1"/>
      <c r="H102"/>
      <c r="K102"/>
      <c r="L102"/>
      <c r="M102"/>
      <c r="N102"/>
    </row>
    <row r="103" spans="2:14" x14ac:dyDescent="0.25">
      <c r="D103" s="1"/>
      <c r="E103" s="1"/>
      <c r="F103" s="1"/>
      <c r="G103" s="1"/>
      <c r="H103"/>
      <c r="K103"/>
      <c r="L103"/>
      <c r="M103"/>
      <c r="N103"/>
    </row>
    <row r="104" spans="2:14" x14ac:dyDescent="0.25">
      <c r="D104" s="1"/>
      <c r="E104" s="1"/>
      <c r="F104" s="1"/>
      <c r="G104" s="1"/>
      <c r="H104"/>
      <c r="K104"/>
      <c r="L104"/>
      <c r="M104"/>
      <c r="N104"/>
    </row>
    <row r="105" spans="2:14" x14ac:dyDescent="0.25">
      <c r="D105" s="1"/>
      <c r="E105" s="1"/>
      <c r="F105" s="1"/>
      <c r="G105" s="1"/>
      <c r="H105"/>
      <c r="K105"/>
      <c r="L105"/>
      <c r="M105"/>
      <c r="N105"/>
    </row>
    <row r="106" spans="2:14" x14ac:dyDescent="0.25">
      <c r="D106" s="1"/>
      <c r="E106" s="1"/>
      <c r="F106" s="1"/>
      <c r="G106" s="1"/>
      <c r="H106"/>
      <c r="K106"/>
      <c r="L106"/>
      <c r="M106"/>
      <c r="N106"/>
    </row>
    <row r="107" spans="2:14" x14ac:dyDescent="0.25">
      <c r="D107" s="1"/>
      <c r="E107" s="1"/>
      <c r="F107" s="1"/>
      <c r="G107" s="1"/>
      <c r="H107"/>
      <c r="K107"/>
      <c r="L107"/>
      <c r="M107"/>
      <c r="N107"/>
    </row>
    <row r="108" spans="2:14" x14ac:dyDescent="0.25">
      <c r="D108" s="1"/>
      <c r="E108" s="1"/>
      <c r="F108" s="1"/>
      <c r="G108" s="1"/>
      <c r="H108"/>
      <c r="K108"/>
      <c r="L108"/>
      <c r="M108"/>
      <c r="N108"/>
    </row>
    <row r="109" spans="2:14" x14ac:dyDescent="0.25">
      <c r="D109" s="1"/>
      <c r="E109" s="1"/>
      <c r="F109" s="1"/>
      <c r="G109" s="1"/>
      <c r="H109"/>
      <c r="K109"/>
      <c r="L109"/>
      <c r="M109"/>
      <c r="N109"/>
    </row>
    <row r="110" spans="2:14" x14ac:dyDescent="0.25">
      <c r="D110" s="1"/>
      <c r="E110" s="1"/>
      <c r="F110" s="1"/>
      <c r="G110" s="1"/>
      <c r="H110"/>
      <c r="K110"/>
      <c r="L110"/>
      <c r="M110"/>
      <c r="N110"/>
    </row>
    <row r="111" spans="2:14" x14ac:dyDescent="0.25">
      <c r="D111" s="1"/>
      <c r="E111" s="1"/>
      <c r="F111" s="1"/>
      <c r="G111" s="1"/>
      <c r="H111"/>
      <c r="K111"/>
      <c r="L111"/>
      <c r="M111"/>
      <c r="N111"/>
    </row>
    <row r="112" spans="2:14" x14ac:dyDescent="0.25">
      <c r="D112" s="1"/>
      <c r="E112" s="1"/>
      <c r="F112" s="1"/>
      <c r="G112" s="1"/>
      <c r="H112"/>
      <c r="K112"/>
      <c r="L112"/>
      <c r="M112"/>
      <c r="N112"/>
    </row>
    <row r="113" spans="4:14" x14ac:dyDescent="0.25">
      <c r="D113" s="1"/>
      <c r="E113" s="1"/>
      <c r="F113" s="1"/>
      <c r="G113" s="1"/>
      <c r="H113"/>
      <c r="K113"/>
      <c r="L113"/>
      <c r="M113"/>
      <c r="N113"/>
    </row>
    <row r="114" spans="4:14" x14ac:dyDescent="0.25">
      <c r="D114" s="1"/>
      <c r="E114" s="1"/>
      <c r="F114" s="1"/>
      <c r="G114" s="1"/>
      <c r="H114"/>
      <c r="K114"/>
      <c r="L114"/>
      <c r="M114"/>
      <c r="N114"/>
    </row>
    <row r="115" spans="4:14" x14ac:dyDescent="0.25">
      <c r="D115" s="1"/>
      <c r="E115" s="1"/>
      <c r="F115" s="1"/>
      <c r="G115" s="1"/>
      <c r="H115"/>
      <c r="K115"/>
      <c r="L115"/>
      <c r="M115"/>
      <c r="N115"/>
    </row>
    <row r="116" spans="4:14" x14ac:dyDescent="0.25">
      <c r="D116" s="1"/>
      <c r="E116" s="1"/>
      <c r="F116" s="1"/>
      <c r="G116" s="1"/>
      <c r="H116"/>
      <c r="K116"/>
      <c r="L116"/>
      <c r="M116"/>
      <c r="N116"/>
    </row>
    <row r="117" spans="4:14" x14ac:dyDescent="0.25">
      <c r="D117" s="1"/>
      <c r="E117" s="1"/>
      <c r="F117" s="1"/>
      <c r="G117" s="1"/>
      <c r="H117"/>
      <c r="K117"/>
      <c r="L117"/>
      <c r="M117"/>
      <c r="N117"/>
    </row>
    <row r="118" spans="4:14" x14ac:dyDescent="0.25">
      <c r="D118" s="1"/>
      <c r="E118" s="1"/>
      <c r="F118" s="1"/>
      <c r="G118" s="1"/>
      <c r="H118"/>
      <c r="K118"/>
      <c r="L118"/>
      <c r="M118"/>
      <c r="N118"/>
    </row>
    <row r="119" spans="4:14" x14ac:dyDescent="0.25">
      <c r="D119" s="1"/>
      <c r="E119" s="1"/>
      <c r="F119" s="1"/>
      <c r="G119" s="1"/>
      <c r="H119"/>
      <c r="K119"/>
      <c r="L119"/>
      <c r="M119"/>
      <c r="N119"/>
    </row>
    <row r="120" spans="4:14" x14ac:dyDescent="0.25">
      <c r="D120" s="1"/>
      <c r="E120" s="1"/>
      <c r="F120" s="1"/>
      <c r="G120" s="1"/>
      <c r="H120"/>
      <c r="K120"/>
      <c r="L120"/>
      <c r="M120"/>
      <c r="N120"/>
    </row>
    <row r="121" spans="4:14" x14ac:dyDescent="0.25">
      <c r="D121" s="1"/>
      <c r="E121" s="1"/>
      <c r="F121" s="1"/>
      <c r="G121" s="1"/>
      <c r="H121"/>
      <c r="K121"/>
      <c r="L121"/>
      <c r="M121"/>
      <c r="N121"/>
    </row>
    <row r="122" spans="4:14" x14ac:dyDescent="0.25">
      <c r="D122" s="1"/>
      <c r="E122" s="1"/>
      <c r="F122" s="1"/>
      <c r="G122" s="1"/>
      <c r="H122"/>
      <c r="K122"/>
      <c r="L122"/>
      <c r="M122"/>
      <c r="N122"/>
    </row>
    <row r="123" spans="4:14" x14ac:dyDescent="0.25">
      <c r="D123" s="1"/>
      <c r="E123" s="1"/>
      <c r="F123" s="1"/>
      <c r="G123" s="1"/>
      <c r="H123"/>
      <c r="K123"/>
      <c r="L123"/>
      <c r="M123"/>
      <c r="N123"/>
    </row>
    <row r="124" spans="4:14" x14ac:dyDescent="0.25">
      <c r="D124" s="1"/>
      <c r="E124" s="1"/>
      <c r="F124" s="1"/>
      <c r="G124" s="1"/>
      <c r="H124"/>
      <c r="K124"/>
      <c r="L124"/>
      <c r="M124"/>
      <c r="N124"/>
    </row>
    <row r="125" spans="4:14" x14ac:dyDescent="0.25">
      <c r="D125" s="1"/>
      <c r="E125" s="1"/>
      <c r="F125" s="1"/>
      <c r="G125" s="1"/>
      <c r="H125"/>
      <c r="K125"/>
      <c r="L125"/>
      <c r="M125"/>
      <c r="N125"/>
    </row>
    <row r="126" spans="4:14" x14ac:dyDescent="0.25">
      <c r="D126" s="1"/>
      <c r="E126" s="1"/>
      <c r="F126" s="1"/>
      <c r="G126" s="1"/>
      <c r="H126"/>
      <c r="K126"/>
      <c r="L126"/>
      <c r="M126"/>
      <c r="N126"/>
    </row>
    <row r="127" spans="4:14" x14ac:dyDescent="0.25">
      <c r="D127" s="1"/>
      <c r="E127" s="1"/>
      <c r="F127" s="1"/>
      <c r="G127" s="1"/>
      <c r="H127"/>
      <c r="K127"/>
      <c r="L127"/>
      <c r="M127"/>
      <c r="N127"/>
    </row>
    <row r="128" spans="4:14" x14ac:dyDescent="0.25">
      <c r="D128" s="1"/>
      <c r="E128" s="1"/>
      <c r="F128" s="1"/>
      <c r="G128" s="1"/>
      <c r="H128"/>
      <c r="K128"/>
      <c r="L128"/>
      <c r="M128"/>
      <c r="N128"/>
    </row>
    <row r="129" spans="4:14" x14ac:dyDescent="0.25">
      <c r="D129" s="1"/>
      <c r="E129" s="1"/>
      <c r="F129" s="1"/>
      <c r="G129" s="1"/>
      <c r="H129"/>
      <c r="K129"/>
      <c r="L129"/>
      <c r="M129"/>
      <c r="N129"/>
    </row>
    <row r="130" spans="4:14" x14ac:dyDescent="0.25">
      <c r="D130" s="1"/>
      <c r="E130" s="1"/>
      <c r="F130" s="1"/>
      <c r="G130" s="1"/>
      <c r="H130"/>
      <c r="K130"/>
      <c r="L130"/>
      <c r="M130"/>
      <c r="N130"/>
    </row>
    <row r="131" spans="4:14" x14ac:dyDescent="0.25">
      <c r="D131" s="1"/>
      <c r="E131" s="1"/>
      <c r="F131" s="1"/>
      <c r="G131" s="1"/>
      <c r="H131"/>
      <c r="K131"/>
      <c r="L131"/>
      <c r="M131"/>
      <c r="N131"/>
    </row>
    <row r="132" spans="4:14" x14ac:dyDescent="0.25">
      <c r="D132" s="1"/>
      <c r="E132" s="1"/>
      <c r="F132" s="1"/>
      <c r="G132" s="1"/>
      <c r="H132"/>
      <c r="K132"/>
      <c r="L132"/>
      <c r="M132"/>
      <c r="N132"/>
    </row>
    <row r="133" spans="4:14" x14ac:dyDescent="0.25">
      <c r="D133" s="1"/>
      <c r="E133" s="1"/>
      <c r="F133" s="1"/>
      <c r="G133" s="1"/>
      <c r="H133"/>
      <c r="K133"/>
      <c r="L133"/>
      <c r="M133"/>
      <c r="N133"/>
    </row>
    <row r="134" spans="4:14" x14ac:dyDescent="0.25">
      <c r="D134" s="1"/>
      <c r="E134" s="1"/>
      <c r="F134" s="1"/>
      <c r="G134" s="1"/>
      <c r="H134"/>
      <c r="K134"/>
      <c r="L134"/>
      <c r="M134"/>
      <c r="N134"/>
    </row>
    <row r="135" spans="4:14" x14ac:dyDescent="0.25">
      <c r="D135" s="1"/>
      <c r="E135" s="1"/>
      <c r="F135" s="1"/>
      <c r="G135" s="1"/>
      <c r="H135"/>
      <c r="K135"/>
      <c r="L135"/>
      <c r="M135"/>
      <c r="N135"/>
    </row>
    <row r="136" spans="4:14" x14ac:dyDescent="0.25">
      <c r="D136" s="1"/>
      <c r="E136" s="1"/>
      <c r="F136" s="1"/>
      <c r="G136" s="1"/>
      <c r="H136"/>
      <c r="K136"/>
      <c r="L136"/>
      <c r="M136"/>
      <c r="N136"/>
    </row>
    <row r="137" spans="4:14" x14ac:dyDescent="0.25">
      <c r="D137" s="1"/>
      <c r="E137" s="1"/>
      <c r="F137" s="1"/>
      <c r="G137" s="1"/>
      <c r="H137"/>
      <c r="K137"/>
      <c r="L137"/>
      <c r="M137"/>
      <c r="N137"/>
    </row>
    <row r="138" spans="4:14" x14ac:dyDescent="0.25">
      <c r="D138" s="1"/>
      <c r="E138" s="1"/>
      <c r="F138" s="1"/>
      <c r="G138" s="1"/>
      <c r="H138"/>
      <c r="K138"/>
      <c r="L138"/>
      <c r="M138"/>
      <c r="N138"/>
    </row>
    <row r="139" spans="4:14" x14ac:dyDescent="0.25">
      <c r="D139" s="1"/>
      <c r="E139" s="1"/>
      <c r="F139" s="1"/>
      <c r="G139" s="1"/>
      <c r="H139"/>
      <c r="K139"/>
      <c r="L139"/>
      <c r="M139"/>
      <c r="N139"/>
    </row>
    <row r="140" spans="4:14" x14ac:dyDescent="0.25">
      <c r="D140" s="1"/>
      <c r="E140" s="1"/>
      <c r="F140" s="1"/>
      <c r="G140" s="1"/>
      <c r="H140"/>
      <c r="K140"/>
      <c r="L140"/>
      <c r="M140"/>
      <c r="N140"/>
    </row>
    <row r="141" spans="4:14" x14ac:dyDescent="0.25">
      <c r="D141" s="1"/>
      <c r="E141" s="1"/>
      <c r="F141" s="1"/>
      <c r="G141" s="1"/>
      <c r="H141"/>
      <c r="K141"/>
      <c r="L141"/>
      <c r="M141"/>
      <c r="N141"/>
    </row>
    <row r="142" spans="4:14" x14ac:dyDescent="0.25">
      <c r="D142" s="1"/>
      <c r="E142" s="1"/>
      <c r="F142" s="1"/>
      <c r="G142" s="1"/>
      <c r="H142"/>
      <c r="K142"/>
      <c r="L142"/>
      <c r="M142"/>
      <c r="N142"/>
    </row>
    <row r="143" spans="4:14" x14ac:dyDescent="0.25">
      <c r="D143" s="1"/>
      <c r="E143" s="1"/>
      <c r="F143" s="1"/>
      <c r="G143" s="1"/>
      <c r="H143"/>
      <c r="K143"/>
      <c r="L143"/>
      <c r="M143"/>
      <c r="N143"/>
    </row>
    <row r="144" spans="4:14" x14ac:dyDescent="0.25">
      <c r="D144" s="1"/>
      <c r="E144" s="1"/>
      <c r="F144" s="1"/>
      <c r="G144" s="1"/>
      <c r="H144"/>
      <c r="K144"/>
      <c r="L144"/>
      <c r="M144"/>
      <c r="N144"/>
    </row>
    <row r="145" spans="4:14" x14ac:dyDescent="0.25">
      <c r="D145" s="1"/>
      <c r="E145" s="1"/>
      <c r="F145" s="1"/>
      <c r="G145" s="1"/>
      <c r="H145"/>
      <c r="K145"/>
      <c r="L145"/>
      <c r="M145"/>
      <c r="N145"/>
    </row>
    <row r="146" spans="4:14" x14ac:dyDescent="0.25">
      <c r="D146" s="1"/>
      <c r="E146" s="1"/>
      <c r="F146" s="1"/>
      <c r="G146" s="1"/>
      <c r="H146"/>
      <c r="K146"/>
      <c r="L146"/>
      <c r="M146"/>
      <c r="N146"/>
    </row>
    <row r="147" spans="4:14" x14ac:dyDescent="0.25">
      <c r="D147" s="1"/>
      <c r="E147" s="1"/>
      <c r="F147" s="1"/>
      <c r="G147" s="1"/>
      <c r="H147"/>
      <c r="K147"/>
      <c r="L147"/>
      <c r="M147"/>
      <c r="N147"/>
    </row>
    <row r="148" spans="4:14" x14ac:dyDescent="0.25">
      <c r="D148" s="1"/>
      <c r="E148" s="1"/>
      <c r="F148" s="1"/>
      <c r="G148" s="1"/>
      <c r="H148"/>
      <c r="K148"/>
      <c r="L148"/>
      <c r="M148"/>
      <c r="N148"/>
    </row>
    <row r="149" spans="4:14" x14ac:dyDescent="0.25">
      <c r="D149" s="1"/>
      <c r="E149" s="1"/>
      <c r="F149" s="1"/>
      <c r="G149" s="1"/>
      <c r="H149"/>
      <c r="K149"/>
      <c r="L149"/>
      <c r="M149"/>
      <c r="N149"/>
    </row>
    <row r="150" spans="4:14" x14ac:dyDescent="0.25">
      <c r="D150" s="1"/>
      <c r="E150" s="1"/>
      <c r="F150" s="1"/>
      <c r="G150" s="1"/>
      <c r="H150"/>
      <c r="K150"/>
      <c r="L150"/>
      <c r="M150"/>
      <c r="N150"/>
    </row>
    <row r="151" spans="4:14" x14ac:dyDescent="0.25">
      <c r="D151" s="1"/>
      <c r="E151" s="1"/>
      <c r="F151" s="1"/>
      <c r="G151" s="1"/>
      <c r="H151"/>
      <c r="K151"/>
      <c r="L151"/>
      <c r="M151"/>
      <c r="N151"/>
    </row>
    <row r="152" spans="4:14" x14ac:dyDescent="0.25">
      <c r="D152" s="1"/>
      <c r="E152" s="1"/>
      <c r="F152" s="1"/>
      <c r="G152" s="1"/>
      <c r="H152"/>
      <c r="K152"/>
      <c r="L152"/>
      <c r="M152"/>
      <c r="N152"/>
    </row>
    <row r="153" spans="4:14" x14ac:dyDescent="0.25">
      <c r="D153" s="1"/>
      <c r="E153" s="1"/>
      <c r="F153" s="1"/>
      <c r="G153" s="1"/>
      <c r="H153"/>
      <c r="K153"/>
      <c r="L153"/>
      <c r="M153"/>
      <c r="N153"/>
    </row>
    <row r="154" spans="4:14" x14ac:dyDescent="0.25">
      <c r="D154" s="1"/>
      <c r="E154" s="1"/>
      <c r="F154" s="1"/>
      <c r="G154" s="1"/>
      <c r="H154"/>
      <c r="K154"/>
      <c r="L154"/>
      <c r="M154"/>
      <c r="N154"/>
    </row>
    <row r="155" spans="4:14" x14ac:dyDescent="0.25">
      <c r="D155" s="1"/>
      <c r="E155" s="1"/>
      <c r="F155" s="1"/>
      <c r="G155" s="1"/>
      <c r="H155"/>
      <c r="K155"/>
      <c r="L155"/>
      <c r="M155"/>
      <c r="N155"/>
    </row>
    <row r="156" spans="4:14" x14ac:dyDescent="0.25">
      <c r="D156" s="1"/>
      <c r="E156" s="1"/>
      <c r="F156" s="1"/>
      <c r="G156" s="1"/>
      <c r="H156"/>
      <c r="K156"/>
      <c r="L156"/>
      <c r="M156"/>
      <c r="N156"/>
    </row>
    <row r="157" spans="4:14" x14ac:dyDescent="0.25">
      <c r="D157" s="1"/>
      <c r="E157" s="1"/>
      <c r="F157" s="1"/>
      <c r="G157" s="1"/>
      <c r="H157"/>
      <c r="K157"/>
      <c r="L157"/>
      <c r="M157"/>
      <c r="N157"/>
    </row>
    <row r="158" spans="4:14" x14ac:dyDescent="0.25">
      <c r="D158" s="1"/>
      <c r="E158" s="1"/>
      <c r="F158" s="1"/>
      <c r="G158" s="1"/>
      <c r="H158"/>
      <c r="K158"/>
      <c r="L158"/>
      <c r="M158"/>
      <c r="N158"/>
    </row>
    <row r="159" spans="4:14" x14ac:dyDescent="0.25">
      <c r="D159" s="1"/>
      <c r="E159" s="1"/>
      <c r="F159" s="1"/>
      <c r="G159" s="1"/>
      <c r="H159"/>
      <c r="K159"/>
      <c r="L159"/>
      <c r="M159"/>
      <c r="N159"/>
    </row>
    <row r="160" spans="4:14" x14ac:dyDescent="0.25">
      <c r="D160" s="1"/>
      <c r="E160" s="1"/>
      <c r="F160" s="1"/>
      <c r="G160" s="1"/>
      <c r="H160"/>
      <c r="K160"/>
      <c r="L160"/>
      <c r="M160"/>
      <c r="N160"/>
    </row>
    <row r="161" spans="2:14" x14ac:dyDescent="0.25">
      <c r="D161" s="1"/>
      <c r="E161" s="1"/>
      <c r="F161" s="1"/>
      <c r="G161" s="1"/>
      <c r="H161"/>
      <c r="K161"/>
      <c r="L161"/>
      <c r="M161"/>
      <c r="N161"/>
    </row>
    <row r="162" spans="2:14" x14ac:dyDescent="0.25">
      <c r="D162" s="1"/>
      <c r="E162" s="1"/>
      <c r="F162" s="1"/>
      <c r="G162" s="1"/>
      <c r="H162"/>
      <c r="K162"/>
      <c r="L162"/>
      <c r="M162"/>
      <c r="N162"/>
    </row>
    <row r="163" spans="2:14" x14ac:dyDescent="0.25">
      <c r="D163" s="1"/>
      <c r="E163" s="1"/>
      <c r="F163" s="1"/>
      <c r="G163" s="1"/>
      <c r="H163"/>
      <c r="K163"/>
      <c r="L163"/>
      <c r="M163"/>
      <c r="N163"/>
    </row>
    <row r="164" spans="2:14" x14ac:dyDescent="0.25">
      <c r="D164" s="1"/>
      <c r="E164" s="1"/>
      <c r="F164" s="1"/>
      <c r="G164" s="1"/>
      <c r="H164"/>
      <c r="K164"/>
      <c r="L164"/>
      <c r="M164"/>
      <c r="N164"/>
    </row>
    <row r="165" spans="2:14" x14ac:dyDescent="0.25">
      <c r="D165" s="1"/>
      <c r="E165" s="1"/>
      <c r="F165" s="1"/>
      <c r="G165" s="1"/>
      <c r="H165"/>
      <c r="K165"/>
      <c r="L165"/>
      <c r="M165"/>
      <c r="N165"/>
    </row>
    <row r="166" spans="2:14" x14ac:dyDescent="0.25">
      <c r="D166" s="1"/>
      <c r="E166" s="1"/>
      <c r="F166" s="1"/>
      <c r="G166" s="1"/>
      <c r="H166"/>
      <c r="K166"/>
      <c r="L166"/>
      <c r="M166"/>
      <c r="N166"/>
    </row>
    <row r="167" spans="2:14" x14ac:dyDescent="0.25">
      <c r="D167" s="1"/>
      <c r="E167" s="1"/>
      <c r="F167" s="1"/>
      <c r="G167" s="1"/>
      <c r="H167"/>
      <c r="K167"/>
      <c r="L167"/>
      <c r="M167"/>
      <c r="N167"/>
    </row>
    <row r="168" spans="2:14" x14ac:dyDescent="0.25">
      <c r="B168" s="1"/>
      <c r="C168" s="1"/>
      <c r="D168" s="1"/>
      <c r="E168" s="1"/>
      <c r="F168" s="1"/>
      <c r="G168" s="1"/>
      <c r="H168"/>
      <c r="K168"/>
      <c r="L168"/>
      <c r="M168"/>
      <c r="N168"/>
    </row>
    <row r="169" spans="2:14" x14ac:dyDescent="0.25">
      <c r="D169" s="1"/>
      <c r="E169" s="1"/>
      <c r="F169" s="1"/>
      <c r="G169" s="1"/>
      <c r="H169"/>
      <c r="K169"/>
      <c r="L169"/>
      <c r="M169"/>
      <c r="N169"/>
    </row>
    <row r="170" spans="2:14" x14ac:dyDescent="0.25">
      <c r="D170" s="1"/>
      <c r="E170" s="1"/>
      <c r="F170" s="1"/>
      <c r="G170" s="1"/>
      <c r="H170"/>
      <c r="K170"/>
      <c r="L170"/>
      <c r="M170"/>
      <c r="N170"/>
    </row>
    <row r="171" spans="2:14" x14ac:dyDescent="0.25">
      <c r="D171" s="1"/>
      <c r="E171" s="1"/>
      <c r="F171" s="1"/>
      <c r="G171" s="1"/>
      <c r="H171"/>
      <c r="K171"/>
      <c r="L171"/>
      <c r="M171"/>
      <c r="N171"/>
    </row>
    <row r="172" spans="2:14" x14ac:dyDescent="0.25">
      <c r="D172" s="1"/>
      <c r="E172" s="1"/>
      <c r="F172" s="1"/>
      <c r="G172" s="1"/>
      <c r="H172"/>
      <c r="K172"/>
      <c r="L172"/>
      <c r="M172"/>
      <c r="N172"/>
    </row>
    <row r="173" spans="2:14" x14ac:dyDescent="0.25">
      <c r="D173" s="1"/>
      <c r="E173" s="1"/>
      <c r="F173" s="1"/>
      <c r="G173" s="1"/>
      <c r="H173"/>
      <c r="K173"/>
      <c r="L173"/>
      <c r="M173"/>
      <c r="N173"/>
    </row>
  </sheetData>
  <mergeCells count="6">
    <mergeCell ref="J42:N42"/>
    <mergeCell ref="B22:H22"/>
    <mergeCell ref="B1:C1"/>
    <mergeCell ref="J15:P15"/>
    <mergeCell ref="J35:N35"/>
    <mergeCell ref="B15:H15"/>
  </mergeCells>
  <conditionalFormatting sqref="K39:N40">
    <cfRule type="cellIs" dxfId="116" priority="3" operator="greaterThan">
      <formula>0</formula>
    </cfRule>
    <cfRule type="cellIs" dxfId="115" priority="4" operator="lessThan">
      <formula>0</formula>
    </cfRule>
  </conditionalFormatting>
  <conditionalFormatting sqref="K46:N47">
    <cfRule type="cellIs" dxfId="114" priority="1" operator="greaterThan">
      <formula>0</formula>
    </cfRule>
    <cfRule type="cellIs" dxfId="113" priority="2" operator="lessThan">
      <formula>0</formula>
    </cfRule>
  </conditionalFormatting>
  <dataValidations count="1">
    <dataValidation type="list" allowBlank="1" showInputMessage="1" showErrorMessage="1" sqref="C3" xr:uid="{28768D2C-1A50-44FC-8CD3-9C6D197D33B1}">
      <formula1>"enero,febrero,marzo,abril,mayo,junio,julio,agosto,septiembre,octubre,noviembre,diciembre"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B6DB9A9-4B59-444D-88DD-66EB595209BC}">
          <x14:formula1>
            <xm:f>'Datos - Gastos'!$C$2:$C$12</xm:f>
          </x14:formula1>
          <xm:sqref>E17:E19 E98:E99 E24:E96</xm:sqref>
        </x14:dataValidation>
        <x14:dataValidation type="list" allowBlank="1" showInputMessage="1" showErrorMessage="1" xr:uid="{B986480C-08B3-4707-90EB-5EF28A209571}">
          <x14:formula1>
            <xm:f>'Datos - Gastos'!$A$2:$A$14</xm:f>
          </x14:formula1>
          <xm:sqref>F17:F19 F81 F70:F71 F24:F44</xm:sqref>
        </x14:dataValidation>
        <x14:dataValidation type="list" allowBlank="1" showInputMessage="1" showErrorMessage="1" xr:uid="{F6704663-9889-4360-B673-F475EF6AF7F6}">
          <x14:formula1>
            <xm:f>'Datos - Gastos'!$A$2:$A$30</xm:f>
          </x14:formula1>
          <xm:sqref>F45:F69 F72:F80 F82:F96 F98:F99 F174:F1048576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7AD6-5D00-47C3-A62D-8B69724272E3}">
  <sheetPr>
    <tabColor theme="5" tint="0.79998168889431442"/>
  </sheetPr>
  <dimension ref="B1:Y173"/>
  <sheetViews>
    <sheetView showGridLines="0" topLeftCell="A22" zoomScaleNormal="100" workbookViewId="0">
      <selection activeCell="F53" sqref="F53"/>
    </sheetView>
  </sheetViews>
  <sheetFormatPr baseColWidth="10" defaultRowHeight="15" x14ac:dyDescent="0.25"/>
  <cols>
    <col min="1" max="1" width="2.42578125" customWidth="1"/>
    <col min="2" max="2" width="16.28515625" bestFit="1" customWidth="1"/>
    <col min="3" max="3" width="14.5703125" bestFit="1" customWidth="1"/>
    <col min="4" max="4" width="15.5703125" bestFit="1" customWidth="1"/>
    <col min="5" max="5" width="30.5703125" bestFit="1" customWidth="1"/>
    <col min="6" max="6" width="29.28515625" bestFit="1" customWidth="1"/>
    <col min="7" max="7" width="46" bestFit="1" customWidth="1"/>
    <col min="8" max="8" width="11" style="1" customWidth="1"/>
    <col min="9" max="9" width="6.140625" customWidth="1"/>
    <col min="10" max="10" width="29.28515625" bestFit="1" customWidth="1"/>
    <col min="11" max="11" width="18.42578125" style="1" bestFit="1" customWidth="1"/>
    <col min="12" max="12" width="19" style="1" bestFit="1" customWidth="1"/>
    <col min="13" max="13" width="19.85546875" style="1" bestFit="1" customWidth="1"/>
    <col min="14" max="14" width="29.28515625" style="1" bestFit="1" customWidth="1"/>
    <col min="15" max="15" width="20.85546875" customWidth="1"/>
    <col min="16" max="16" width="18.5703125" customWidth="1"/>
    <col min="17" max="17" width="5" customWidth="1"/>
    <col min="18" max="18" width="27.140625" bestFit="1" customWidth="1"/>
    <col min="19" max="19" width="18.42578125" bestFit="1" customWidth="1"/>
    <col min="20" max="20" width="19" bestFit="1" customWidth="1"/>
    <col min="21" max="21" width="19.85546875" bestFit="1" customWidth="1"/>
    <col min="22" max="22" width="20.42578125" bestFit="1" customWidth="1"/>
    <col min="23" max="23" width="29.7109375" customWidth="1"/>
  </cols>
  <sheetData>
    <row r="1" spans="2:25" ht="15.75" thickBot="1" x14ac:dyDescent="0.3">
      <c r="B1" s="248" t="s">
        <v>155</v>
      </c>
      <c r="C1" s="249"/>
      <c r="J1" s="116" t="s">
        <v>119</v>
      </c>
      <c r="K1" s="117" t="s">
        <v>111</v>
      </c>
      <c r="L1" s="118" t="s">
        <v>112</v>
      </c>
      <c r="M1"/>
      <c r="N1" s="116" t="s">
        <v>120</v>
      </c>
      <c r="O1" s="117" t="s">
        <v>111</v>
      </c>
      <c r="P1" s="118" t="s">
        <v>112</v>
      </c>
      <c r="Q1" s="1"/>
      <c r="R1" s="116" t="s">
        <v>198</v>
      </c>
      <c r="S1" s="117" t="s">
        <v>111</v>
      </c>
      <c r="T1" s="118" t="s">
        <v>112</v>
      </c>
      <c r="Y1" s="126"/>
    </row>
    <row r="2" spans="2:25" x14ac:dyDescent="0.25">
      <c r="B2" s="114" t="s">
        <v>124</v>
      </c>
      <c r="C2" s="74">
        <v>2026</v>
      </c>
      <c r="J2" s="120" t="s">
        <v>110</v>
      </c>
      <c r="K2" s="79">
        <f>'Gastos julio'!O2</f>
        <v>10000</v>
      </c>
      <c r="L2" s="121">
        <f>K2*D7</f>
        <v>15100000</v>
      </c>
      <c r="M2"/>
      <c r="N2" s="120" t="s">
        <v>110</v>
      </c>
      <c r="O2" s="79">
        <f>K2+SUMIF($E$24:$E$173,$N2,$C$24:$C$173)+SUMIF($E$24:$E$173,$N2,$D$24:$D$173)</f>
        <v>10000</v>
      </c>
      <c r="P2" s="121">
        <f>O2*$D$7</f>
        <v>15100000</v>
      </c>
      <c r="Q2" s="1"/>
      <c r="R2" s="120" t="s">
        <v>110</v>
      </c>
      <c r="S2" s="79">
        <f>IFERROR(IF(O2&gt;K2,O2-K2,K2-O2),0)</f>
        <v>0</v>
      </c>
      <c r="T2" s="121">
        <f>IFERROR(IF(P2&gt;L2,P2-L2,L2-P2),0)</f>
        <v>0</v>
      </c>
    </row>
    <row r="3" spans="2:25" x14ac:dyDescent="0.25">
      <c r="B3" s="114" t="s">
        <v>125</v>
      </c>
      <c r="C3" s="75" t="s">
        <v>16</v>
      </c>
      <c r="J3" s="120" t="s">
        <v>109</v>
      </c>
      <c r="K3" s="79">
        <f>'Gastos julio'!O3</f>
        <v>500</v>
      </c>
      <c r="L3" s="121">
        <f>K3*D7</f>
        <v>755000</v>
      </c>
      <c r="M3"/>
      <c r="N3" s="120" t="s">
        <v>109</v>
      </c>
      <c r="O3" s="79">
        <f>K3</f>
        <v>500</v>
      </c>
      <c r="P3" s="121">
        <f>L3+SUMIF($E$24:$E$173,$N3,$C$24:$C$173)+SUMIF($E$24:$E$173,$N3,$D$24:$D$173)</f>
        <v>755000</v>
      </c>
      <c r="Q3" s="1"/>
      <c r="R3" s="120" t="s">
        <v>109</v>
      </c>
      <c r="S3" s="79">
        <f t="shared" ref="S3:T10" si="0">IFERROR(IF(O3&gt;K3,O3-K3,K3-O3),0)</f>
        <v>0</v>
      </c>
      <c r="T3" s="121">
        <f t="shared" si="0"/>
        <v>0</v>
      </c>
    </row>
    <row r="4" spans="2:25" x14ac:dyDescent="0.25">
      <c r="B4" s="115" t="s">
        <v>126</v>
      </c>
      <c r="C4" s="76">
        <f>DAY(EOMONTH(DATE($C$2,MATCH($C$3,{"enero";"febrero";"marzo";"abril";"mayo";"junio";"julio";"agosto";"septiembre";"octubre";"noviembre";"diciembre"},0),1),0))</f>
        <v>31</v>
      </c>
      <c r="J4" s="120" t="s">
        <v>108</v>
      </c>
      <c r="K4" s="79">
        <f>'Gastos julio'!O4</f>
        <v>1128.2620684931508</v>
      </c>
      <c r="L4" s="121">
        <f>'Gastos julio'!P4</f>
        <v>1647262.62</v>
      </c>
      <c r="M4"/>
      <c r="N4" s="120" t="s">
        <v>108</v>
      </c>
      <c r="O4" s="79">
        <f>IFERROR(P4/$C$8,"")</f>
        <v>1113.0152837837838</v>
      </c>
      <c r="P4" s="121">
        <f>L4+SUMIF($E$24:$E$173,$N4,$C$24:$C$173)+SUMIF($E$24:$E$173,$N4,$D$24:$D$173)</f>
        <v>1647262.62</v>
      </c>
      <c r="Q4" s="1"/>
      <c r="R4" s="120" t="s">
        <v>108</v>
      </c>
      <c r="S4" s="79">
        <f t="shared" si="0"/>
        <v>15.246784709366921</v>
      </c>
      <c r="T4" s="121">
        <f t="shared" si="0"/>
        <v>0</v>
      </c>
    </row>
    <row r="5" spans="2:25" x14ac:dyDescent="0.25">
      <c r="J5" s="120" t="s">
        <v>115</v>
      </c>
      <c r="K5" s="79">
        <f>'Gastos julio'!O5</f>
        <v>929.01970547945189</v>
      </c>
      <c r="L5" s="121">
        <f>'Gastos julio'!P5</f>
        <v>1356368.7699999998</v>
      </c>
      <c r="M5"/>
      <c r="N5" s="120" t="s">
        <v>115</v>
      </c>
      <c r="O5" s="79">
        <f>IFERROR(P5/$C$8,"")</f>
        <v>1950.2491689189187</v>
      </c>
      <c r="P5" s="121">
        <f>L5+SUMIF($E$24:$E$173,$N5,$C$24:$C$173)+SUMIF($E$24:$E$173,$N5,$D$24:$D$173)</f>
        <v>2886368.7699999996</v>
      </c>
      <c r="Q5" s="1"/>
      <c r="R5" s="120" t="s">
        <v>115</v>
      </c>
      <c r="S5" s="79">
        <f t="shared" si="0"/>
        <v>1021.2294634394668</v>
      </c>
      <c r="T5" s="121">
        <f t="shared" si="0"/>
        <v>1529999.9999999998</v>
      </c>
    </row>
    <row r="6" spans="2:25" ht="15.75" thickBot="1" x14ac:dyDescent="0.3">
      <c r="B6" s="116" t="s">
        <v>113</v>
      </c>
      <c r="C6" s="117" t="s">
        <v>127</v>
      </c>
      <c r="D6" s="118" t="s">
        <v>128</v>
      </c>
      <c r="E6" s="112"/>
      <c r="J6" s="120" t="s">
        <v>130</v>
      </c>
      <c r="K6" s="79">
        <f>'Gastos julio'!O6</f>
        <v>1429.7389999999996</v>
      </c>
      <c r="L6" s="121">
        <f>'Gastos julio'!P6</f>
        <v>2087418.9399999995</v>
      </c>
      <c r="M6"/>
      <c r="N6" s="120" t="s">
        <v>130</v>
      </c>
      <c r="O6" s="79">
        <f>IFERROR(P6/$C$8,"")</f>
        <v>1446.3709324324316</v>
      </c>
      <c r="P6" s="121">
        <f>L6+SUMIF($E$24:$E$173,$N6,$C$24:$C$173)+SUMIF($E$24:$E$173,$N6,$D$24:$D$173)</f>
        <v>2140628.9799999986</v>
      </c>
      <c r="Q6" s="1"/>
      <c r="R6" s="120" t="s">
        <v>130</v>
      </c>
      <c r="S6" s="79">
        <f t="shared" si="0"/>
        <v>16.631932432431995</v>
      </c>
      <c r="T6" s="121">
        <f t="shared" si="0"/>
        <v>53210.039999999106</v>
      </c>
    </row>
    <row r="7" spans="2:25" x14ac:dyDescent="0.25">
      <c r="B7" s="127">
        <f>DATE($C$2,MATCH($C$3,{"enero";"febrero";"marzo";"abril";"mayo";"junio";"julio";"agosto";"septiembre";"octubre";"noviembre";"diciembre"},0),1)</f>
        <v>46235</v>
      </c>
      <c r="C7" s="128">
        <v>1460</v>
      </c>
      <c r="D7" s="129">
        <v>1510</v>
      </c>
      <c r="E7" s="14"/>
      <c r="J7" s="120" t="s">
        <v>131</v>
      </c>
      <c r="K7" s="79">
        <f>'Gastos julio'!O7</f>
        <v>4.7400000000000091</v>
      </c>
      <c r="L7" s="121">
        <f>K7*D7</f>
        <v>7157.4000000000142</v>
      </c>
      <c r="M7"/>
      <c r="N7" s="120" t="s">
        <v>131</v>
      </c>
      <c r="O7" s="14">
        <f>K7+SUM(C17:C19)+SUM(D17:D19)</f>
        <v>9.9100000000000037</v>
      </c>
      <c r="P7" s="121">
        <f>O7*$D$8</f>
        <v>15211.850000000006</v>
      </c>
      <c r="Q7" s="1"/>
      <c r="R7" s="120" t="s">
        <v>131</v>
      </c>
      <c r="S7" s="79">
        <f t="shared" si="0"/>
        <v>5.1699999999999946</v>
      </c>
      <c r="T7" s="121">
        <f t="shared" si="0"/>
        <v>8054.4499999999916</v>
      </c>
    </row>
    <row r="8" spans="2:25" x14ac:dyDescent="0.25">
      <c r="B8" s="119">
        <f>DATE($C$2,MATCH($C$3,{"enero";"febrero";"marzo";"abril";"mayo";"junio";"julio";"agosto";"septiembre";"octubre";"noviembre";"diciembre"},0),C4)</f>
        <v>46265</v>
      </c>
      <c r="C8" s="138">
        <v>1480</v>
      </c>
      <c r="D8" s="139">
        <v>1535</v>
      </c>
      <c r="J8" s="120" t="s">
        <v>114</v>
      </c>
      <c r="K8" s="79">
        <f>'Gastos julio'!O8</f>
        <v>0.38704794520547947</v>
      </c>
      <c r="L8" s="121">
        <f>'Gastos julio'!P8</f>
        <v>565.09</v>
      </c>
      <c r="M8"/>
      <c r="N8" s="120" t="s">
        <v>116</v>
      </c>
      <c r="O8" s="79">
        <f>IFERROR(P8/$C$8,"")</f>
        <v>0.38181756756756757</v>
      </c>
      <c r="P8" s="121">
        <f>L8+SUMIF($E$24:$E$173,$N8,$C$24:$C$173)+SUMIF($E$24:$E$173,$N8,$D$24:$D$173)</f>
        <v>565.09</v>
      </c>
      <c r="Q8" s="1"/>
      <c r="R8" s="120" t="s">
        <v>116</v>
      </c>
      <c r="S8" s="79">
        <f t="shared" si="0"/>
        <v>5.2303776379118982E-3</v>
      </c>
      <c r="T8" s="121">
        <f t="shared" si="0"/>
        <v>0</v>
      </c>
    </row>
    <row r="9" spans="2:25" x14ac:dyDescent="0.25">
      <c r="J9" s="120" t="s">
        <v>117</v>
      </c>
      <c r="K9" s="79">
        <f>'Gastos julio'!O9</f>
        <v>9.315068493150686E-4</v>
      </c>
      <c r="L9" s="121">
        <f>'Gastos julio'!P9</f>
        <v>1.36</v>
      </c>
      <c r="M9"/>
      <c r="N9" s="120" t="s">
        <v>117</v>
      </c>
      <c r="O9" s="79">
        <f>IFERROR(P9/$C$8,"")</f>
        <v>9.1891891891891894E-4</v>
      </c>
      <c r="P9" s="121">
        <f>L9+SUMIF($E$24:$E$173,$N9,$C$24:$C$173)+SUMIF($E$24:$E$173,$N9,$D$24:$D$173)</f>
        <v>1.36</v>
      </c>
      <c r="Q9" s="1"/>
      <c r="R9" s="120" t="s">
        <v>117</v>
      </c>
      <c r="S9" s="79">
        <f t="shared" si="0"/>
        <v>1.2587930396149656E-5</v>
      </c>
      <c r="T9" s="121">
        <f t="shared" si="0"/>
        <v>0</v>
      </c>
    </row>
    <row r="10" spans="2:25" x14ac:dyDescent="0.25">
      <c r="J10" s="120" t="s">
        <v>118</v>
      </c>
      <c r="K10" s="79">
        <f>'Gastos julio'!O10</f>
        <v>3.4246575342465753</v>
      </c>
      <c r="L10" s="121">
        <f>'Gastos julio'!P10</f>
        <v>5000</v>
      </c>
      <c r="M10"/>
      <c r="N10" s="120" t="s">
        <v>118</v>
      </c>
      <c r="O10" s="79">
        <f>IFERROR(P10/$C$8,"")</f>
        <v>0</v>
      </c>
      <c r="P10" s="121">
        <f>L10+SUMIF($E$24:$E$173,$N10,$C$24:$C$173)+SUMIF($E$24:$E$173,$N10,$D$24:$D$173)</f>
        <v>0</v>
      </c>
      <c r="Q10" s="1"/>
      <c r="R10" s="120" t="s">
        <v>118</v>
      </c>
      <c r="S10" s="79">
        <f t="shared" si="0"/>
        <v>3.4246575342465753</v>
      </c>
      <c r="T10" s="121">
        <f t="shared" si="0"/>
        <v>5000</v>
      </c>
    </row>
    <row r="11" spans="2:25" ht="15.75" thickBot="1" x14ac:dyDescent="0.3">
      <c r="J11" s="120"/>
      <c r="K11"/>
      <c r="L11" s="74"/>
      <c r="M11"/>
      <c r="N11" s="120"/>
      <c r="P11" s="74"/>
      <c r="Q11" s="1"/>
      <c r="R11" s="120"/>
      <c r="T11" s="74"/>
    </row>
    <row r="12" spans="2:25" x14ac:dyDescent="0.25">
      <c r="J12" s="122" t="s">
        <v>82</v>
      </c>
      <c r="K12" s="123">
        <f>SUM(K2:K10)</f>
        <v>13995.573410958901</v>
      </c>
      <c r="L12" s="124">
        <f>SUM(L2:L10)</f>
        <v>20958774.179999996</v>
      </c>
      <c r="M12"/>
      <c r="N12" s="122" t="s">
        <v>82</v>
      </c>
      <c r="O12" s="123">
        <f>SUM(O2:O9)</f>
        <v>15019.92812162162</v>
      </c>
      <c r="P12" s="124">
        <f>SUM(P2:P9)</f>
        <v>22545038.669999998</v>
      </c>
      <c r="Q12" s="1"/>
      <c r="R12" s="122" t="s">
        <v>82</v>
      </c>
      <c r="S12" s="123">
        <f>SUM(S2:S9)</f>
        <v>1058.283423546834</v>
      </c>
      <c r="T12" s="124">
        <f>SUM(T2:T9)</f>
        <v>1591264.4899999988</v>
      </c>
    </row>
    <row r="13" spans="2:25" x14ac:dyDescent="0.25">
      <c r="F13" s="14"/>
    </row>
    <row r="14" spans="2:25" ht="15.75" thickBot="1" x14ac:dyDescent="0.3">
      <c r="F14" s="14"/>
    </row>
    <row r="15" spans="2:25" x14ac:dyDescent="0.25">
      <c r="B15" s="245" t="s">
        <v>180</v>
      </c>
      <c r="C15" s="246"/>
      <c r="D15" s="246"/>
      <c r="E15" s="246"/>
      <c r="F15" s="246"/>
      <c r="G15" s="246"/>
      <c r="H15" s="247"/>
      <c r="J15" s="245" t="s">
        <v>171</v>
      </c>
      <c r="K15" s="246"/>
      <c r="L15" s="246"/>
      <c r="M15" s="246"/>
      <c r="N15" s="246"/>
      <c r="O15" s="246"/>
      <c r="P15" s="247"/>
    </row>
    <row r="16" spans="2:25" x14ac:dyDescent="0.25">
      <c r="B16" s="71" t="s">
        <v>132</v>
      </c>
      <c r="C16" s="72" t="s">
        <v>69</v>
      </c>
      <c r="D16" s="72" t="s">
        <v>122</v>
      </c>
      <c r="E16" s="72" t="s">
        <v>143</v>
      </c>
      <c r="F16" s="72" t="s">
        <v>123</v>
      </c>
      <c r="G16" s="72" t="s">
        <v>129</v>
      </c>
      <c r="H16" s="73" t="s">
        <v>121</v>
      </c>
      <c r="J16" s="82" t="s">
        <v>123</v>
      </c>
      <c r="K16" s="78" t="s">
        <v>170</v>
      </c>
      <c r="L16" s="78" t="s">
        <v>163</v>
      </c>
      <c r="M16" s="78" t="s">
        <v>172</v>
      </c>
      <c r="N16" s="78" t="s">
        <v>173</v>
      </c>
      <c r="P16" s="6"/>
      <c r="Q16" s="112"/>
    </row>
    <row r="17" spans="2:18" x14ac:dyDescent="0.25">
      <c r="B17" s="4">
        <v>1</v>
      </c>
      <c r="C17" s="66">
        <v>52.3</v>
      </c>
      <c r="D17" s="67"/>
      <c r="E17" s="1" t="s">
        <v>131</v>
      </c>
      <c r="F17" s="68" t="s">
        <v>175</v>
      </c>
      <c r="G17" s="1" t="s">
        <v>281</v>
      </c>
      <c r="H17" s="69">
        <v>46244</v>
      </c>
      <c r="J17" s="83" t="s">
        <v>136</v>
      </c>
      <c r="K17" s="63">
        <f>SUMIF($F$24:$F$173,$J17,$D$24:$D$173)</f>
        <v>0</v>
      </c>
      <c r="L17" s="79">
        <f t="shared" ref="L17:L33" si="1">SUMIF($F$24:$F$173,$J17,$C$24:$C$173)</f>
        <v>60150</v>
      </c>
      <c r="M17" s="80">
        <f t="shared" ref="M17:M33" si="2">IFERROR(K17/SUM(K$17:K$32),"")</f>
        <v>0</v>
      </c>
      <c r="N17" s="81">
        <f t="shared" ref="N17:N33" si="3">IFERROR(L17/SUM(L$17:L$32),"")</f>
        <v>1.7455166499159944E-2</v>
      </c>
      <c r="P17" s="6"/>
      <c r="Q17" s="78"/>
    </row>
    <row r="18" spans="2:18" x14ac:dyDescent="0.25">
      <c r="B18" s="70">
        <v>2</v>
      </c>
      <c r="C18" s="66"/>
      <c r="D18" s="67">
        <v>-37.14</v>
      </c>
      <c r="E18" s="1" t="s">
        <v>131</v>
      </c>
      <c r="F18" s="68" t="s">
        <v>175</v>
      </c>
      <c r="G18" s="68" t="s">
        <v>279</v>
      </c>
      <c r="H18" s="69">
        <v>46244</v>
      </c>
      <c r="J18" s="83" t="s">
        <v>151</v>
      </c>
      <c r="K18" s="63">
        <f t="shared" ref="K18:K33" si="4">SUMIF($F$24:$F$173,$J18,$C$24:$C$173)+SUMIF($F$24:$F$173,$J18,$D$24:$D$173)</f>
        <v>-255130.74</v>
      </c>
      <c r="L18" s="79">
        <f t="shared" si="1"/>
        <v>21000</v>
      </c>
      <c r="M18" s="80">
        <f t="shared" si="2"/>
        <v>-0.1189279820927879</v>
      </c>
      <c r="N18" s="81">
        <f t="shared" si="3"/>
        <v>6.0940730919760407E-3</v>
      </c>
      <c r="P18" s="6"/>
      <c r="Q18" s="113"/>
    </row>
    <row r="19" spans="2:18" ht="15.75" thickBot="1" x14ac:dyDescent="0.3">
      <c r="B19" s="144">
        <v>3</v>
      </c>
      <c r="C19" s="133"/>
      <c r="D19" s="134">
        <v>-9.99</v>
      </c>
      <c r="E19" s="9" t="s">
        <v>131</v>
      </c>
      <c r="F19" s="145" t="s">
        <v>175</v>
      </c>
      <c r="G19" s="145" t="s">
        <v>280</v>
      </c>
      <c r="H19" s="146">
        <v>46244</v>
      </c>
      <c r="J19" s="83" t="s">
        <v>152</v>
      </c>
      <c r="K19" s="63">
        <f t="shared" si="4"/>
        <v>-25100</v>
      </c>
      <c r="L19" s="79">
        <f t="shared" si="1"/>
        <v>0</v>
      </c>
      <c r="M19" s="80">
        <f t="shared" si="2"/>
        <v>-1.1700245727069096E-2</v>
      </c>
      <c r="N19" s="81">
        <f t="shared" si="3"/>
        <v>0</v>
      </c>
      <c r="P19" s="6"/>
      <c r="Q19" s="113"/>
    </row>
    <row r="20" spans="2:18" x14ac:dyDescent="0.25">
      <c r="J20" s="83" t="s">
        <v>153</v>
      </c>
      <c r="K20" s="63">
        <f t="shared" si="4"/>
        <v>-75330</v>
      </c>
      <c r="L20" s="79">
        <f t="shared" si="1"/>
        <v>41370</v>
      </c>
      <c r="M20" s="80">
        <f t="shared" si="2"/>
        <v>-3.5114721538650001E-2</v>
      </c>
      <c r="N20" s="81">
        <f t="shared" si="3"/>
        <v>1.20053239911928E-2</v>
      </c>
      <c r="P20" s="6"/>
      <c r="Q20" s="113"/>
    </row>
    <row r="21" spans="2:18" ht="15.75" thickBot="1" x14ac:dyDescent="0.3">
      <c r="J21" s="83" t="s">
        <v>154</v>
      </c>
      <c r="K21" s="63">
        <f t="shared" si="4"/>
        <v>-24600</v>
      </c>
      <c r="L21" s="79">
        <f t="shared" si="1"/>
        <v>0</v>
      </c>
      <c r="M21" s="80">
        <f t="shared" si="2"/>
        <v>-1.1467173103023896E-2</v>
      </c>
      <c r="N21" s="81">
        <f t="shared" si="3"/>
        <v>0</v>
      </c>
      <c r="P21" s="6"/>
    </row>
    <row r="22" spans="2:18" x14ac:dyDescent="0.25">
      <c r="B22" s="245" t="s">
        <v>179</v>
      </c>
      <c r="C22" s="246"/>
      <c r="D22" s="246"/>
      <c r="E22" s="246"/>
      <c r="F22" s="246"/>
      <c r="G22" s="246"/>
      <c r="H22" s="247"/>
      <c r="J22" s="83" t="s">
        <v>137</v>
      </c>
      <c r="K22" s="63">
        <f t="shared" si="4"/>
        <v>-125000</v>
      </c>
      <c r="L22" s="79">
        <f t="shared" si="1"/>
        <v>50000</v>
      </c>
      <c r="M22" s="80">
        <f t="shared" si="2"/>
        <v>-5.8268156011300282E-2</v>
      </c>
      <c r="N22" s="81">
        <f t="shared" si="3"/>
        <v>1.4509697838038193E-2</v>
      </c>
      <c r="P22" s="6"/>
    </row>
    <row r="23" spans="2:18" x14ac:dyDescent="0.25">
      <c r="B23" s="71" t="s">
        <v>132</v>
      </c>
      <c r="C23" s="72" t="s">
        <v>69</v>
      </c>
      <c r="D23" s="72" t="s">
        <v>122</v>
      </c>
      <c r="E23" s="72" t="s">
        <v>143</v>
      </c>
      <c r="F23" s="72" t="s">
        <v>123</v>
      </c>
      <c r="G23" s="72" t="s">
        <v>129</v>
      </c>
      <c r="H23" s="73" t="s">
        <v>121</v>
      </c>
      <c r="J23" s="83" t="s">
        <v>138</v>
      </c>
      <c r="K23" s="63">
        <f t="shared" si="4"/>
        <v>-6686.31</v>
      </c>
      <c r="L23" s="79">
        <f t="shared" si="1"/>
        <v>0</v>
      </c>
      <c r="M23" s="80">
        <f t="shared" si="2"/>
        <v>-3.1167916337593374E-3</v>
      </c>
      <c r="N23" s="81">
        <f t="shared" si="3"/>
        <v>0</v>
      </c>
      <c r="P23" s="6"/>
    </row>
    <row r="24" spans="2:18" x14ac:dyDescent="0.25">
      <c r="B24" s="4">
        <v>1</v>
      </c>
      <c r="D24" s="67">
        <v>-10000</v>
      </c>
      <c r="E24" s="1" t="s">
        <v>130</v>
      </c>
      <c r="F24" s="68" t="s">
        <v>152</v>
      </c>
      <c r="G24" s="1" t="s">
        <v>252</v>
      </c>
      <c r="H24" s="69">
        <v>46235</v>
      </c>
      <c r="J24" s="83" t="s">
        <v>139</v>
      </c>
      <c r="K24" s="63">
        <f t="shared" si="4"/>
        <v>0</v>
      </c>
      <c r="L24" s="79">
        <f t="shared" si="1"/>
        <v>0</v>
      </c>
      <c r="M24" s="80">
        <f t="shared" si="2"/>
        <v>0</v>
      </c>
      <c r="N24" s="81">
        <f t="shared" si="3"/>
        <v>0</v>
      </c>
      <c r="P24" s="6"/>
    </row>
    <row r="25" spans="2:18" x14ac:dyDescent="0.25">
      <c r="B25" s="70">
        <v>2</v>
      </c>
      <c r="C25" s="66"/>
      <c r="D25" s="67">
        <v>-61200</v>
      </c>
      <c r="E25" s="1" t="s">
        <v>130</v>
      </c>
      <c r="F25" s="68" t="s">
        <v>153</v>
      </c>
      <c r="G25" s="68" t="s">
        <v>253</v>
      </c>
      <c r="H25" s="69">
        <v>46235</v>
      </c>
      <c r="J25" s="83" t="s">
        <v>140</v>
      </c>
      <c r="K25" s="63">
        <f t="shared" si="4"/>
        <v>0</v>
      </c>
      <c r="L25" s="79">
        <f t="shared" si="1"/>
        <v>0</v>
      </c>
      <c r="M25" s="80">
        <f t="shared" si="2"/>
        <v>0</v>
      </c>
      <c r="N25" s="81">
        <f t="shared" si="3"/>
        <v>0</v>
      </c>
      <c r="P25" s="6"/>
    </row>
    <row r="26" spans="2:18" x14ac:dyDescent="0.25">
      <c r="B26" s="70">
        <v>3</v>
      </c>
      <c r="C26" s="66"/>
      <c r="D26" s="67">
        <v>-50000</v>
      </c>
      <c r="E26" s="1" t="s">
        <v>130</v>
      </c>
      <c r="F26" s="68" t="s">
        <v>137</v>
      </c>
      <c r="G26" s="68" t="s">
        <v>244</v>
      </c>
      <c r="H26" s="69">
        <v>46236</v>
      </c>
      <c r="J26" s="83" t="s">
        <v>141</v>
      </c>
      <c r="K26" s="63">
        <f t="shared" si="4"/>
        <v>-18000</v>
      </c>
      <c r="L26" s="79">
        <f t="shared" si="1"/>
        <v>19500</v>
      </c>
      <c r="M26" s="80">
        <f t="shared" si="2"/>
        <v>-8.3906144656272393E-3</v>
      </c>
      <c r="N26" s="81">
        <f t="shared" si="3"/>
        <v>5.6587821568348951E-3</v>
      </c>
      <c r="P26" s="6"/>
      <c r="R26" s="63"/>
    </row>
    <row r="27" spans="2:18" x14ac:dyDescent="0.25">
      <c r="B27" s="70">
        <v>4</v>
      </c>
      <c r="C27" s="66">
        <v>68500</v>
      </c>
      <c r="D27" s="67"/>
      <c r="E27" s="1" t="s">
        <v>130</v>
      </c>
      <c r="F27" s="68" t="s">
        <v>157</v>
      </c>
      <c r="G27" s="68" t="s">
        <v>254</v>
      </c>
      <c r="H27" s="69">
        <v>46236</v>
      </c>
      <c r="J27" s="83" t="s">
        <v>149</v>
      </c>
      <c r="K27" s="63">
        <f t="shared" si="4"/>
        <v>-12850</v>
      </c>
      <c r="L27" s="79">
        <f t="shared" si="1"/>
        <v>396000</v>
      </c>
      <c r="M27" s="80">
        <f t="shared" si="2"/>
        <v>-5.9899664379616689E-3</v>
      </c>
      <c r="N27" s="81">
        <f t="shared" si="3"/>
        <v>0.11491680687726248</v>
      </c>
      <c r="P27" s="6"/>
    </row>
    <row r="28" spans="2:18" x14ac:dyDescent="0.25">
      <c r="B28" s="70">
        <v>5</v>
      </c>
      <c r="C28" s="66">
        <v>29700</v>
      </c>
      <c r="D28" s="67"/>
      <c r="E28" s="1" t="s">
        <v>130</v>
      </c>
      <c r="F28" s="68" t="s">
        <v>153</v>
      </c>
      <c r="G28" s="68" t="s">
        <v>255</v>
      </c>
      <c r="H28" s="69">
        <v>46236</v>
      </c>
      <c r="J28" s="83" t="s">
        <v>150</v>
      </c>
      <c r="K28" s="63">
        <f t="shared" si="4"/>
        <v>0</v>
      </c>
      <c r="L28" s="79">
        <f t="shared" si="1"/>
        <v>0</v>
      </c>
      <c r="M28" s="80">
        <f t="shared" si="2"/>
        <v>0</v>
      </c>
      <c r="N28" s="81">
        <f t="shared" si="3"/>
        <v>0</v>
      </c>
      <c r="P28" s="6"/>
    </row>
    <row r="29" spans="2:18" x14ac:dyDescent="0.25">
      <c r="B29" s="4">
        <v>6</v>
      </c>
      <c r="C29" s="66"/>
      <c r="D29" s="67">
        <v>-40000</v>
      </c>
      <c r="E29" s="1" t="s">
        <v>130</v>
      </c>
      <c r="F29" s="68" t="s">
        <v>151</v>
      </c>
      <c r="G29" s="68" t="s">
        <v>256</v>
      </c>
      <c r="H29" s="69">
        <v>46236</v>
      </c>
      <c r="J29" s="83" t="s">
        <v>158</v>
      </c>
      <c r="K29" s="63">
        <f t="shared" si="4"/>
        <v>2094451.14</v>
      </c>
      <c r="L29" s="79">
        <f t="shared" si="1"/>
        <v>2094451.14</v>
      </c>
      <c r="M29" s="80">
        <f t="shared" si="2"/>
        <v>0.97631844626852571</v>
      </c>
      <c r="N29" s="81">
        <f t="shared" si="3"/>
        <v>0.60779706355869256</v>
      </c>
      <c r="P29" s="6"/>
    </row>
    <row r="30" spans="2:18" x14ac:dyDescent="0.25">
      <c r="B30" s="70">
        <v>7</v>
      </c>
      <c r="C30" s="66"/>
      <c r="D30" s="67">
        <v>-5000</v>
      </c>
      <c r="E30" s="1" t="s">
        <v>118</v>
      </c>
      <c r="F30" s="68" t="s">
        <v>151</v>
      </c>
      <c r="G30" s="68" t="s">
        <v>246</v>
      </c>
      <c r="H30" s="69">
        <v>46236</v>
      </c>
      <c r="J30" s="83" t="s">
        <v>157</v>
      </c>
      <c r="K30" s="63">
        <f t="shared" si="4"/>
        <v>423500</v>
      </c>
      <c r="L30" s="79">
        <f t="shared" si="1"/>
        <v>423500</v>
      </c>
      <c r="M30" s="80">
        <f t="shared" si="2"/>
        <v>0.19741251256628534</v>
      </c>
      <c r="N30" s="81">
        <f t="shared" si="3"/>
        <v>0.12289714068818348</v>
      </c>
      <c r="P30" s="6"/>
    </row>
    <row r="31" spans="2:18" x14ac:dyDescent="0.25">
      <c r="B31" s="70">
        <v>8</v>
      </c>
      <c r="C31" s="66">
        <v>1900000</v>
      </c>
      <c r="D31" s="67"/>
      <c r="E31" s="1" t="s">
        <v>115</v>
      </c>
      <c r="F31" s="68" t="s">
        <v>166</v>
      </c>
      <c r="G31" s="68" t="s">
        <v>257</v>
      </c>
      <c r="H31" s="69">
        <v>46237</v>
      </c>
      <c r="J31" s="83" t="s">
        <v>159</v>
      </c>
      <c r="K31" s="63">
        <f t="shared" si="4"/>
        <v>170000</v>
      </c>
      <c r="L31" s="79">
        <f t="shared" si="1"/>
        <v>340000</v>
      </c>
      <c r="M31" s="80">
        <f t="shared" si="2"/>
        <v>7.9244692175368378E-2</v>
      </c>
      <c r="N31" s="81">
        <f t="shared" si="3"/>
        <v>9.8665945298659713E-2</v>
      </c>
      <c r="P31" s="6"/>
    </row>
    <row r="32" spans="2:18" x14ac:dyDescent="0.25">
      <c r="B32" s="70">
        <v>9</v>
      </c>
      <c r="C32" s="66"/>
      <c r="D32" s="67">
        <v>-1900000</v>
      </c>
      <c r="E32" s="1" t="s">
        <v>130</v>
      </c>
      <c r="F32" s="68" t="s">
        <v>166</v>
      </c>
      <c r="G32" s="68" t="s">
        <v>257</v>
      </c>
      <c r="H32" s="69">
        <v>46237</v>
      </c>
      <c r="J32" s="83" t="s">
        <v>167</v>
      </c>
      <c r="K32" s="63">
        <f t="shared" si="4"/>
        <v>0</v>
      </c>
      <c r="L32" s="79">
        <f t="shared" si="1"/>
        <v>0</v>
      </c>
      <c r="M32" s="80">
        <f t="shared" si="2"/>
        <v>0</v>
      </c>
      <c r="N32" s="81">
        <f t="shared" si="3"/>
        <v>0</v>
      </c>
      <c r="P32" s="6"/>
    </row>
    <row r="33" spans="2:16" ht="15.75" thickBot="1" x14ac:dyDescent="0.3">
      <c r="B33" s="70">
        <v>10</v>
      </c>
      <c r="C33" s="66"/>
      <c r="D33" s="67">
        <v>-20000</v>
      </c>
      <c r="E33" s="1" t="s">
        <v>130</v>
      </c>
      <c r="F33" s="68" t="s">
        <v>137</v>
      </c>
      <c r="G33" s="68" t="s">
        <v>260</v>
      </c>
      <c r="H33" s="69">
        <v>46237</v>
      </c>
      <c r="J33" s="84" t="s">
        <v>175</v>
      </c>
      <c r="K33" s="85">
        <f t="shared" si="4"/>
        <v>-309765.61000000004</v>
      </c>
      <c r="L33" s="86">
        <f t="shared" si="1"/>
        <v>52.3</v>
      </c>
      <c r="M33" s="87">
        <f t="shared" si="2"/>
        <v>-0.1443957671233248</v>
      </c>
      <c r="N33" s="88">
        <f t="shared" si="3"/>
        <v>1.5177143938587949E-5</v>
      </c>
      <c r="O33" s="7"/>
      <c r="P33" s="19"/>
    </row>
    <row r="34" spans="2:16" x14ac:dyDescent="0.25">
      <c r="B34" s="4">
        <v>11</v>
      </c>
      <c r="C34" s="66"/>
      <c r="D34" s="67">
        <v>-35000</v>
      </c>
      <c r="E34" s="68" t="s">
        <v>130</v>
      </c>
      <c r="F34" s="68" t="s">
        <v>151</v>
      </c>
      <c r="G34" s="68" t="s">
        <v>261</v>
      </c>
      <c r="H34" s="69">
        <v>46238</v>
      </c>
    </row>
    <row r="35" spans="2:16" x14ac:dyDescent="0.25">
      <c r="B35" s="70">
        <v>12</v>
      </c>
      <c r="C35" s="66"/>
      <c r="D35" s="67">
        <v>-6686.31</v>
      </c>
      <c r="E35" s="68" t="s">
        <v>130</v>
      </c>
      <c r="F35" s="68" t="s">
        <v>138</v>
      </c>
      <c r="G35" s="68" t="s">
        <v>262</v>
      </c>
      <c r="H35" s="69">
        <v>46238</v>
      </c>
      <c r="J35" s="250" t="s">
        <v>115</v>
      </c>
      <c r="K35" s="251"/>
      <c r="L35" s="251"/>
      <c r="M35" s="251"/>
      <c r="N35" s="251"/>
      <c r="O35" s="251"/>
    </row>
    <row r="36" spans="2:16" x14ac:dyDescent="0.25">
      <c r="B36" s="70">
        <v>13</v>
      </c>
      <c r="C36" s="66"/>
      <c r="D36" s="67">
        <v>-37500</v>
      </c>
      <c r="E36" s="68" t="s">
        <v>130</v>
      </c>
      <c r="F36" s="68" t="s">
        <v>141</v>
      </c>
      <c r="G36" s="68" t="s">
        <v>263</v>
      </c>
      <c r="H36" s="69">
        <v>46238</v>
      </c>
      <c r="J36" s="83" t="s">
        <v>115</v>
      </c>
      <c r="K36" s="89">
        <v>46237</v>
      </c>
      <c r="L36" s="89">
        <v>46244</v>
      </c>
      <c r="M36" s="89">
        <v>46251</v>
      </c>
      <c r="N36" s="89">
        <v>46258</v>
      </c>
      <c r="O36" s="90">
        <v>46265</v>
      </c>
    </row>
    <row r="37" spans="2:16" x14ac:dyDescent="0.25">
      <c r="B37" s="70">
        <v>14</v>
      </c>
      <c r="C37" s="66">
        <v>19500</v>
      </c>
      <c r="D37" s="67"/>
      <c r="E37" s="68" t="s">
        <v>130</v>
      </c>
      <c r="F37" s="68" t="s">
        <v>141</v>
      </c>
      <c r="G37" s="68" t="s">
        <v>264</v>
      </c>
      <c r="H37" s="69">
        <v>46238</v>
      </c>
      <c r="J37" s="83" t="s">
        <v>183</v>
      </c>
      <c r="K37" s="63">
        <f>$L$5+SUMIFS($C$24:$C$173,$E$24:$E$173,$N5,$H$24:$H$173,"&lt;="&amp;K$36)+SUMIFS($D$24:$D$173,$E$24:$E$173,$N5,$H$24:$H$173,"&lt;="&amp;K$36)</f>
        <v>3256368.7699999996</v>
      </c>
      <c r="L37" s="14">
        <f>$L$5+SUMIFS($C$24:$C$173,$E$24:$E$173,$N5,$H$24:$H$173,"&lt;"&amp;L$36)+SUMIFS($D$24:$D$173,$E$24:$E$173,$N5,$H$24:$H$173,"&lt;="&amp;L$36)</f>
        <v>2876368.7699999996</v>
      </c>
      <c r="M37" s="14">
        <f>$L$5+SUMIFS($C$24:$C$173,$E$24:$E$173,$N5,$H$24:$H$173,"&lt;"&amp;M$36)+SUMIFS($D$24:$D$173,$E$24:$E$173,$N5,$H$24:$H$173,"&lt;="&amp;M$36)</f>
        <v>3026368.7699999996</v>
      </c>
      <c r="N37" s="79">
        <f>$L$5+SUMIFS($C$24:$C$173,$E$24:$E$173,$N5,$H$24:$H$173,"&lt;"&amp;N$36)+SUMIFS($D$24:$D$173,$E$24:$E$173,$N5,$H$24:$H$173,"&lt;="&amp;N$36)</f>
        <v>2776368.7699999996</v>
      </c>
      <c r="O37" s="131">
        <f>$L$5+SUMIFS($C$24:$C$173,$E$24:$E$173,$N5,$H$24:$H$173,"&lt;"&amp;O$36)+SUMIFS($D$24:$D$173,$E$24:$E$173,$N5,$H$24:$H$173,"&lt;="&amp;O$36)</f>
        <v>2886368.7699999996</v>
      </c>
    </row>
    <row r="38" spans="2:16" x14ac:dyDescent="0.25">
      <c r="B38" s="70">
        <v>15</v>
      </c>
      <c r="C38" s="66"/>
      <c r="D38" s="67">
        <v>-16900</v>
      </c>
      <c r="E38" s="68" t="s">
        <v>130</v>
      </c>
      <c r="F38" s="68" t="s">
        <v>151</v>
      </c>
      <c r="G38" s="68" t="s">
        <v>267</v>
      </c>
      <c r="H38" s="69">
        <v>46239</v>
      </c>
      <c r="J38" s="83" t="s">
        <v>184</v>
      </c>
      <c r="K38" s="79">
        <v>3275661.46</v>
      </c>
      <c r="L38" s="14">
        <v>2905138.77</v>
      </c>
      <c r="M38" s="14">
        <v>3065231.59</v>
      </c>
      <c r="N38" s="79">
        <v>2826525.15</v>
      </c>
      <c r="O38" s="131">
        <v>2947714.95</v>
      </c>
    </row>
    <row r="39" spans="2:16" x14ac:dyDescent="0.25">
      <c r="B39" s="4">
        <v>16</v>
      </c>
      <c r="C39" s="66"/>
      <c r="D39" s="67">
        <v>-7000</v>
      </c>
      <c r="E39" s="68" t="s">
        <v>130</v>
      </c>
      <c r="F39" s="68" t="s">
        <v>268</v>
      </c>
      <c r="G39" s="68" t="s">
        <v>269</v>
      </c>
      <c r="H39" s="69">
        <v>46240</v>
      </c>
      <c r="J39" s="83" t="s">
        <v>185</v>
      </c>
      <c r="K39" s="63">
        <f>IF(K38="","",K38-K37)</f>
        <v>19292.69000000041</v>
      </c>
      <c r="L39" s="63">
        <f t="shared" ref="L39:N39" si="5">IF(L38="","",L38-L37)</f>
        <v>28770.000000000466</v>
      </c>
      <c r="M39" s="63">
        <f t="shared" si="5"/>
        <v>38862.820000000298</v>
      </c>
      <c r="N39" s="63">
        <f t="shared" si="5"/>
        <v>50156.380000000354</v>
      </c>
      <c r="O39" s="91">
        <f t="shared" ref="O39" si="6">IF(O38="","",O38-O37)</f>
        <v>61346.180000000633</v>
      </c>
    </row>
    <row r="40" spans="2:16" ht="15.75" thickBot="1" x14ac:dyDescent="0.3">
      <c r="B40" s="70">
        <v>17</v>
      </c>
      <c r="C40" s="66"/>
      <c r="D40" s="67">
        <v>-45000</v>
      </c>
      <c r="E40" s="1" t="s">
        <v>130</v>
      </c>
      <c r="F40" s="68" t="s">
        <v>202</v>
      </c>
      <c r="G40" s="68" t="s">
        <v>266</v>
      </c>
      <c r="H40" s="69">
        <v>46240</v>
      </c>
      <c r="J40" s="84" t="s">
        <v>186</v>
      </c>
      <c r="K40" s="92">
        <f>IF(K39="","",((K38-K37)/K37))</f>
        <v>5.9246023293609996E-3</v>
      </c>
      <c r="L40" s="92">
        <f t="shared" ref="L40:N40" si="7">IF(L39="","",((L38-L37)/L37))</f>
        <v>1.000219453780277E-2</v>
      </c>
      <c r="M40" s="92">
        <f t="shared" si="7"/>
        <v>1.2841402668849342E-2</v>
      </c>
      <c r="N40" s="92">
        <f t="shared" si="7"/>
        <v>1.8065460374703884E-2</v>
      </c>
      <c r="O40" s="93">
        <f t="shared" ref="O40" si="8">IF(O39="","",((O38-O37)/O37))</f>
        <v>2.1253756844105767E-2</v>
      </c>
    </row>
    <row r="41" spans="2:16" x14ac:dyDescent="0.25">
      <c r="B41" s="70">
        <v>18</v>
      </c>
      <c r="C41" s="66"/>
      <c r="D41" s="67">
        <v>-80000</v>
      </c>
      <c r="E41" s="1" t="s">
        <v>115</v>
      </c>
      <c r="F41" s="68" t="s">
        <v>165</v>
      </c>
      <c r="G41" s="68" t="s">
        <v>270</v>
      </c>
      <c r="H41" s="69">
        <v>46240</v>
      </c>
      <c r="K41"/>
      <c r="L41"/>
      <c r="M41"/>
      <c r="N41"/>
    </row>
    <row r="42" spans="2:16" x14ac:dyDescent="0.25">
      <c r="B42" s="70">
        <v>19</v>
      </c>
      <c r="C42" s="66">
        <v>80000</v>
      </c>
      <c r="D42" s="67"/>
      <c r="E42" s="1" t="s">
        <v>130</v>
      </c>
      <c r="F42" s="68" t="s">
        <v>165</v>
      </c>
      <c r="G42" s="68" t="s">
        <v>270</v>
      </c>
      <c r="H42" s="69">
        <v>46240</v>
      </c>
      <c r="J42" s="250" t="s">
        <v>195</v>
      </c>
      <c r="K42" s="251"/>
      <c r="L42" s="251"/>
      <c r="M42" s="251"/>
      <c r="N42" s="251"/>
      <c r="O42" s="251"/>
    </row>
    <row r="43" spans="2:16" x14ac:dyDescent="0.25">
      <c r="B43" s="70">
        <v>20</v>
      </c>
      <c r="C43" s="66"/>
      <c r="D43" s="67">
        <v>-14800</v>
      </c>
      <c r="E43" s="68" t="s">
        <v>130</v>
      </c>
      <c r="F43" s="68" t="s">
        <v>151</v>
      </c>
      <c r="G43" s="68" t="s">
        <v>271</v>
      </c>
      <c r="H43" s="69">
        <v>46240</v>
      </c>
      <c r="J43" s="83" t="s">
        <v>121</v>
      </c>
      <c r="K43" s="89">
        <v>46237</v>
      </c>
      <c r="L43" s="89">
        <v>46244</v>
      </c>
      <c r="M43" s="89">
        <v>46251</v>
      </c>
      <c r="N43" s="89">
        <v>46258</v>
      </c>
      <c r="O43" s="90">
        <v>46265</v>
      </c>
    </row>
    <row r="44" spans="2:16" x14ac:dyDescent="0.25">
      <c r="B44" s="4">
        <v>21</v>
      </c>
      <c r="C44" s="66"/>
      <c r="D44" s="67">
        <v>-93250.74</v>
      </c>
      <c r="E44" s="68" t="s">
        <v>130</v>
      </c>
      <c r="F44" s="68" t="s">
        <v>151</v>
      </c>
      <c r="G44" s="68" t="s">
        <v>272</v>
      </c>
      <c r="H44" s="69">
        <v>46241</v>
      </c>
      <c r="J44" s="83" t="s">
        <v>196</v>
      </c>
      <c r="K44" s="63">
        <f>$L$4+SUMIFS($D$24:$D$173,$G$24:$G$173,"Transferencia a Petrini",$H$24:$H$173,"&lt;"&amp;K$36)*-1+SUMIFS($D$24:$D$173,$G$24:$G$173,"Transferencia de Petrini",$H$24:$H$173,"&lt;"&amp;K$36)</f>
        <v>1647262.62</v>
      </c>
      <c r="L44" s="63">
        <f>$L$4+SUMIFS($D$24:$D$173,$G$24:$G$173,"Transferencia a Petrini",$H$24:$H$173,"&lt;"&amp;L$36)*-1+SUMIFS($D$24:$D$173,$G$24:$G$173,"Transferencia de Petrini",$H$24:$H$173,"&lt;"&amp;L$36)</f>
        <v>1647262.62</v>
      </c>
      <c r="M44" s="63">
        <f>$L$4+SUMIFS($D$24:$D$173,$G$24:$G$173,"Transferencia a Petrini",$H$24:$H$173,"&lt;"&amp;M$36)*-1+SUMIFS($D$24:$D$173,$G$24:$G$173,"Transferencia de Petrini",$H$24:$H$173,"&lt;"&amp;M$36)</f>
        <v>1647262.62</v>
      </c>
      <c r="N44" s="79">
        <f>$L$4+SUMIFS($D$24:$D$173,$G$24:$G$173,"Transferencia a Petrini",$H$24:$H$173,"&lt;"&amp;N$36)*-1+SUMIFS($D$24:$D$173,$G$24:$G$173,"Transferencia de Petrini",$H$24:$H$173,"&lt;"&amp;N$36)</f>
        <v>1647262.62</v>
      </c>
      <c r="O44" s="131">
        <f>$L$4+SUMIFS($D$24:$D$173,$G$24:$G$173,"Transferencia a Petrini",$H$24:$H$173,"&lt;"&amp;O$36)*-1+SUMIFS($D$24:$D$173,$G$24:$G$173,"Transferencia de Petrini",$H$24:$H$173,"&lt;"&amp;O$36)</f>
        <v>1647262.62</v>
      </c>
    </row>
    <row r="45" spans="2:16" x14ac:dyDescent="0.25">
      <c r="B45" s="70">
        <v>22</v>
      </c>
      <c r="C45" s="66"/>
      <c r="D45" s="67">
        <v>-150000</v>
      </c>
      <c r="E45" s="1" t="s">
        <v>115</v>
      </c>
      <c r="F45" s="68" t="s">
        <v>165</v>
      </c>
      <c r="G45" s="68" t="s">
        <v>236</v>
      </c>
      <c r="H45" s="69">
        <v>46241</v>
      </c>
      <c r="J45" s="83" t="s">
        <v>197</v>
      </c>
      <c r="K45" s="79">
        <v>1658392.29</v>
      </c>
      <c r="L45" s="14">
        <v>1680876.05</v>
      </c>
      <c r="M45" s="63">
        <v>1687843.03</v>
      </c>
      <c r="N45" s="79">
        <v>1682587.43</v>
      </c>
      <c r="O45" s="131">
        <v>1694129.18</v>
      </c>
    </row>
    <row r="46" spans="2:16" x14ac:dyDescent="0.25">
      <c r="B46" s="70">
        <v>23</v>
      </c>
      <c r="C46" s="66">
        <v>150000</v>
      </c>
      <c r="D46" s="67"/>
      <c r="E46" s="1" t="s">
        <v>130</v>
      </c>
      <c r="F46" s="68" t="s">
        <v>165</v>
      </c>
      <c r="G46" s="68" t="s">
        <v>236</v>
      </c>
      <c r="H46" s="69">
        <v>46241</v>
      </c>
      <c r="J46" s="83" t="s">
        <v>185</v>
      </c>
      <c r="K46" s="63">
        <f>IF(K45="","",K45-K44)</f>
        <v>11129.669999999925</v>
      </c>
      <c r="L46" s="63">
        <f t="shared" ref="L46:N46" si="9">IF(L45="","",L45-L44)</f>
        <v>33613.429999999935</v>
      </c>
      <c r="M46" s="63">
        <f t="shared" si="9"/>
        <v>40580.409999999916</v>
      </c>
      <c r="N46" s="63">
        <f t="shared" si="9"/>
        <v>35324.809999999823</v>
      </c>
      <c r="O46" s="91">
        <f t="shared" ref="O46" si="10">IF(O45="","",O45-O44)</f>
        <v>46866.559999999823</v>
      </c>
    </row>
    <row r="47" spans="2:16" ht="15.75" thickBot="1" x14ac:dyDescent="0.3">
      <c r="B47" s="70">
        <v>24</v>
      </c>
      <c r="C47" s="66">
        <v>21000</v>
      </c>
      <c r="D47" s="67"/>
      <c r="E47" s="1" t="s">
        <v>130</v>
      </c>
      <c r="F47" s="68" t="s">
        <v>151</v>
      </c>
      <c r="G47" s="1" t="s">
        <v>273</v>
      </c>
      <c r="H47" s="69">
        <v>46241</v>
      </c>
      <c r="J47" s="84" t="s">
        <v>186</v>
      </c>
      <c r="K47" s="92">
        <f>IF(K46="","",((K45-K44)/K44))</f>
        <v>6.7564636414805092E-3</v>
      </c>
      <c r="L47" s="92">
        <f t="shared" ref="L47:N47" si="11">IF(L46="","",((L45-L44)/L44))</f>
        <v>2.0405629067209656E-2</v>
      </c>
      <c r="M47" s="92">
        <f t="shared" si="11"/>
        <v>2.4635057887733718E-2</v>
      </c>
      <c r="N47" s="92">
        <f t="shared" si="11"/>
        <v>2.1444552660340111E-2</v>
      </c>
      <c r="O47" s="93">
        <f t="shared" ref="O47" si="12">IF(O46="","",((O45-O44)/O44))</f>
        <v>2.8451176777143053E-2</v>
      </c>
    </row>
    <row r="48" spans="2:16" x14ac:dyDescent="0.25">
      <c r="B48" s="70">
        <v>25</v>
      </c>
      <c r="C48" s="66">
        <v>79000</v>
      </c>
      <c r="D48" s="67"/>
      <c r="E48" s="1" t="s">
        <v>130</v>
      </c>
      <c r="F48" s="68" t="s">
        <v>157</v>
      </c>
      <c r="G48" s="68" t="s">
        <v>274</v>
      </c>
      <c r="H48" s="69">
        <v>46244</v>
      </c>
    </row>
    <row r="49" spans="2:11" x14ac:dyDescent="0.25">
      <c r="B49" s="4">
        <v>26</v>
      </c>
      <c r="C49" s="66">
        <v>30200</v>
      </c>
      <c r="D49" s="67"/>
      <c r="E49" s="1" t="s">
        <v>130</v>
      </c>
      <c r="F49" s="68" t="s">
        <v>136</v>
      </c>
      <c r="G49" s="68" t="s">
        <v>275</v>
      </c>
      <c r="H49" s="69">
        <v>46244</v>
      </c>
    </row>
    <row r="50" spans="2:11" x14ac:dyDescent="0.25">
      <c r="B50" s="70">
        <v>27</v>
      </c>
      <c r="C50" s="66"/>
      <c r="D50" s="67">
        <v>-150000</v>
      </c>
      <c r="E50" s="1" t="s">
        <v>115</v>
      </c>
      <c r="F50" s="68" t="s">
        <v>165</v>
      </c>
      <c r="G50" s="68" t="s">
        <v>276</v>
      </c>
      <c r="H50" s="69">
        <v>46244</v>
      </c>
      <c r="K50" s="137"/>
    </row>
    <row r="51" spans="2:11" x14ac:dyDescent="0.25">
      <c r="B51" s="70">
        <v>28</v>
      </c>
      <c r="C51" s="66">
        <v>150000</v>
      </c>
      <c r="D51" s="67"/>
      <c r="E51" s="1" t="s">
        <v>130</v>
      </c>
      <c r="F51" s="68" t="s">
        <v>165</v>
      </c>
      <c r="G51" s="68" t="s">
        <v>276</v>
      </c>
      <c r="H51" s="69">
        <v>46244</v>
      </c>
    </row>
    <row r="52" spans="2:11" x14ac:dyDescent="0.25">
      <c r="B52" s="70">
        <v>29</v>
      </c>
      <c r="C52" s="66"/>
      <c r="D52" s="67">
        <v>-226321.54</v>
      </c>
      <c r="E52" s="68" t="s">
        <v>130</v>
      </c>
      <c r="F52" s="68" t="s">
        <v>175</v>
      </c>
      <c r="G52" s="68" t="s">
        <v>176</v>
      </c>
      <c r="H52" s="69">
        <v>46244</v>
      </c>
    </row>
    <row r="53" spans="2:11" x14ac:dyDescent="0.25">
      <c r="B53" s="70">
        <v>30</v>
      </c>
      <c r="C53" s="66"/>
      <c r="D53" s="67">
        <v>-79496</v>
      </c>
      <c r="E53" s="68" t="s">
        <v>130</v>
      </c>
      <c r="F53" s="68" t="s">
        <v>175</v>
      </c>
      <c r="G53" s="68" t="s">
        <v>277</v>
      </c>
      <c r="H53" s="69">
        <v>46244</v>
      </c>
    </row>
    <row r="54" spans="2:11" x14ac:dyDescent="0.25">
      <c r="B54" s="4">
        <v>31</v>
      </c>
      <c r="C54" s="66"/>
      <c r="D54" s="67">
        <v>-3953.24</v>
      </c>
      <c r="E54" s="68" t="s">
        <v>130</v>
      </c>
      <c r="F54" s="68" t="s">
        <v>175</v>
      </c>
      <c r="G54" s="68" t="s">
        <v>278</v>
      </c>
      <c r="H54" s="69">
        <v>46244</v>
      </c>
    </row>
    <row r="55" spans="2:11" x14ac:dyDescent="0.25">
      <c r="B55" s="70">
        <v>32</v>
      </c>
      <c r="C55" s="66">
        <v>52.3</v>
      </c>
      <c r="D55" s="67"/>
      <c r="E55" s="1" t="s">
        <v>131</v>
      </c>
      <c r="F55" s="68" t="s">
        <v>175</v>
      </c>
      <c r="G55" s="68" t="s">
        <v>277</v>
      </c>
      <c r="H55" s="69">
        <v>46244</v>
      </c>
    </row>
    <row r="56" spans="2:11" x14ac:dyDescent="0.25">
      <c r="B56" s="70">
        <v>33</v>
      </c>
      <c r="C56" s="66"/>
      <c r="D56" s="67">
        <v>-37.14</v>
      </c>
      <c r="E56" s="1" t="s">
        <v>131</v>
      </c>
      <c r="F56" s="68" t="s">
        <v>175</v>
      </c>
      <c r="G56" s="1" t="s">
        <v>279</v>
      </c>
      <c r="H56" s="69">
        <v>46244</v>
      </c>
    </row>
    <row r="57" spans="2:11" x14ac:dyDescent="0.25">
      <c r="B57" s="70">
        <v>34</v>
      </c>
      <c r="C57" s="66"/>
      <c r="D57" s="67">
        <v>-9.99</v>
      </c>
      <c r="E57" s="1" t="s">
        <v>131</v>
      </c>
      <c r="F57" s="68" t="s">
        <v>175</v>
      </c>
      <c r="G57" s="68" t="s">
        <v>280</v>
      </c>
      <c r="H57" s="69">
        <v>46244</v>
      </c>
    </row>
    <row r="58" spans="2:11" x14ac:dyDescent="0.25">
      <c r="B58" s="70">
        <v>35</v>
      </c>
      <c r="C58" s="66">
        <v>25000</v>
      </c>
      <c r="D58" s="67"/>
      <c r="E58" s="1" t="s">
        <v>118</v>
      </c>
      <c r="F58" s="1" t="s">
        <v>250</v>
      </c>
      <c r="G58" s="1" t="s">
        <v>283</v>
      </c>
      <c r="H58" s="69">
        <v>46244</v>
      </c>
    </row>
    <row r="59" spans="2:11" x14ac:dyDescent="0.25">
      <c r="B59" s="4">
        <v>36</v>
      </c>
      <c r="C59" s="66">
        <v>50000</v>
      </c>
      <c r="D59" s="67"/>
      <c r="E59" s="1" t="s">
        <v>118</v>
      </c>
      <c r="F59" s="1" t="s">
        <v>137</v>
      </c>
      <c r="G59" s="1" t="s">
        <v>284</v>
      </c>
      <c r="H59" s="69">
        <v>46244</v>
      </c>
    </row>
    <row r="60" spans="2:11" x14ac:dyDescent="0.25">
      <c r="B60" s="70">
        <v>37</v>
      </c>
      <c r="C60" s="66"/>
      <c r="D60" s="67">
        <v>-35000</v>
      </c>
      <c r="E60" s="1" t="s">
        <v>118</v>
      </c>
      <c r="F60" s="1" t="s">
        <v>151</v>
      </c>
      <c r="G60" s="1" t="s">
        <v>285</v>
      </c>
      <c r="H60" s="69">
        <v>46244</v>
      </c>
    </row>
    <row r="61" spans="2:11" x14ac:dyDescent="0.25">
      <c r="B61" s="70">
        <v>38</v>
      </c>
      <c r="C61" s="66">
        <v>340000</v>
      </c>
      <c r="D61" s="67"/>
      <c r="E61" s="1" t="s">
        <v>130</v>
      </c>
      <c r="F61" s="1" t="s">
        <v>159</v>
      </c>
      <c r="G61" s="1" t="s">
        <v>287</v>
      </c>
      <c r="H61" s="69">
        <v>46244</v>
      </c>
    </row>
    <row r="62" spans="2:11" x14ac:dyDescent="0.25">
      <c r="B62" s="70">
        <v>39</v>
      </c>
      <c r="C62" s="66"/>
      <c r="D62" s="67">
        <v>-170000</v>
      </c>
      <c r="E62" s="1" t="s">
        <v>130</v>
      </c>
      <c r="F62" s="1" t="s">
        <v>159</v>
      </c>
      <c r="G62" s="1" t="s">
        <v>286</v>
      </c>
      <c r="H62" s="69">
        <v>46244</v>
      </c>
    </row>
    <row r="63" spans="2:11" x14ac:dyDescent="0.25">
      <c r="B63" s="70">
        <v>40</v>
      </c>
      <c r="C63" s="66">
        <v>200000</v>
      </c>
      <c r="D63" s="67"/>
      <c r="E63" s="1" t="s">
        <v>115</v>
      </c>
      <c r="F63" s="68" t="s">
        <v>166</v>
      </c>
      <c r="G63" s="1" t="s">
        <v>288</v>
      </c>
      <c r="H63" s="135">
        <v>46245</v>
      </c>
    </row>
    <row r="64" spans="2:11" x14ac:dyDescent="0.25">
      <c r="B64" s="4">
        <v>41</v>
      </c>
      <c r="C64" s="66"/>
      <c r="D64" s="67">
        <v>-200000</v>
      </c>
      <c r="E64" s="1" t="s">
        <v>130</v>
      </c>
      <c r="F64" s="68" t="s">
        <v>166</v>
      </c>
      <c r="G64" s="1" t="s">
        <v>288</v>
      </c>
      <c r="H64" s="135">
        <v>46245</v>
      </c>
    </row>
    <row r="65" spans="2:8" x14ac:dyDescent="0.25">
      <c r="B65" s="70">
        <v>42</v>
      </c>
      <c r="C65" s="66"/>
      <c r="D65" s="67">
        <v>-40000</v>
      </c>
      <c r="E65" s="1" t="s">
        <v>118</v>
      </c>
      <c r="F65" s="1" t="s">
        <v>137</v>
      </c>
      <c r="G65" s="1" t="s">
        <v>244</v>
      </c>
      <c r="H65" s="135">
        <v>46246</v>
      </c>
    </row>
    <row r="66" spans="2:8" x14ac:dyDescent="0.25">
      <c r="B66" s="70">
        <v>43</v>
      </c>
      <c r="C66" s="66">
        <v>30000</v>
      </c>
      <c r="D66" s="67"/>
      <c r="E66" s="1" t="s">
        <v>118</v>
      </c>
      <c r="F66" s="1" t="s">
        <v>149</v>
      </c>
      <c r="G66" s="1" t="s">
        <v>289</v>
      </c>
      <c r="H66" s="135">
        <v>46246</v>
      </c>
    </row>
    <row r="67" spans="2:8" x14ac:dyDescent="0.25">
      <c r="B67" s="70">
        <v>44</v>
      </c>
      <c r="C67" s="66"/>
      <c r="D67" s="67">
        <v>-50000</v>
      </c>
      <c r="E67" s="1" t="s">
        <v>115</v>
      </c>
      <c r="F67" s="68" t="s">
        <v>165</v>
      </c>
      <c r="G67" s="136" t="s">
        <v>236</v>
      </c>
      <c r="H67" s="135">
        <v>46248</v>
      </c>
    </row>
    <row r="68" spans="2:8" x14ac:dyDescent="0.25">
      <c r="B68" s="70">
        <v>45</v>
      </c>
      <c r="C68" s="66">
        <v>50000</v>
      </c>
      <c r="D68" s="67"/>
      <c r="E68" s="1" t="s">
        <v>130</v>
      </c>
      <c r="F68" s="68" t="s">
        <v>165</v>
      </c>
      <c r="G68" s="136" t="s">
        <v>236</v>
      </c>
      <c r="H68" s="135">
        <v>46248</v>
      </c>
    </row>
    <row r="69" spans="2:8" x14ac:dyDescent="0.25">
      <c r="B69" s="4">
        <v>46</v>
      </c>
      <c r="C69" s="66"/>
      <c r="D69" s="67">
        <v>-11180</v>
      </c>
      <c r="E69" s="1" t="s">
        <v>130</v>
      </c>
      <c r="F69" s="1" t="s">
        <v>151</v>
      </c>
      <c r="G69" s="1" t="s">
        <v>291</v>
      </c>
      <c r="H69" s="135">
        <v>46248</v>
      </c>
    </row>
    <row r="70" spans="2:8" x14ac:dyDescent="0.25">
      <c r="B70" s="70">
        <v>47</v>
      </c>
      <c r="C70" s="66"/>
      <c r="D70" s="67">
        <v>-20000</v>
      </c>
      <c r="E70" s="1" t="s">
        <v>130</v>
      </c>
      <c r="F70" s="1" t="s">
        <v>151</v>
      </c>
      <c r="G70" s="68" t="s">
        <v>290</v>
      </c>
      <c r="H70" s="135">
        <v>46248</v>
      </c>
    </row>
    <row r="71" spans="2:8" x14ac:dyDescent="0.25">
      <c r="B71" s="70">
        <v>48</v>
      </c>
      <c r="C71" s="66"/>
      <c r="D71" s="67">
        <v>-10000</v>
      </c>
      <c r="E71" s="1" t="s">
        <v>130</v>
      </c>
      <c r="F71" s="1" t="s">
        <v>137</v>
      </c>
      <c r="G71" s="68" t="s">
        <v>292</v>
      </c>
      <c r="H71" s="135">
        <v>46248</v>
      </c>
    </row>
    <row r="72" spans="2:8" x14ac:dyDescent="0.25">
      <c r="B72" s="70">
        <v>49</v>
      </c>
      <c r="C72" s="66"/>
      <c r="D72" s="67">
        <v>-13500</v>
      </c>
      <c r="E72" s="1" t="s">
        <v>130</v>
      </c>
      <c r="F72" s="1" t="s">
        <v>153</v>
      </c>
      <c r="G72" s="1" t="s">
        <v>293</v>
      </c>
      <c r="H72" s="135">
        <v>46249</v>
      </c>
    </row>
    <row r="73" spans="2:8" x14ac:dyDescent="0.25">
      <c r="B73" s="70">
        <v>50</v>
      </c>
      <c r="C73" s="66">
        <v>79000</v>
      </c>
      <c r="D73" s="67"/>
      <c r="E73" s="1" t="s">
        <v>130</v>
      </c>
      <c r="F73" s="1" t="s">
        <v>157</v>
      </c>
      <c r="G73" s="1" t="s">
        <v>294</v>
      </c>
      <c r="H73" s="135">
        <v>46249</v>
      </c>
    </row>
    <row r="74" spans="2:8" x14ac:dyDescent="0.25">
      <c r="B74" s="4">
        <v>51</v>
      </c>
      <c r="C74" s="66"/>
      <c r="D74" s="67">
        <v>-14700</v>
      </c>
      <c r="E74" s="1" t="s">
        <v>130</v>
      </c>
      <c r="F74" s="1" t="s">
        <v>296</v>
      </c>
      <c r="G74" s="1" t="s">
        <v>295</v>
      </c>
      <c r="H74" s="135">
        <v>46249</v>
      </c>
    </row>
    <row r="75" spans="2:8" x14ac:dyDescent="0.25">
      <c r="B75" s="70">
        <v>52</v>
      </c>
      <c r="C75" s="66">
        <v>142000</v>
      </c>
      <c r="D75" s="67"/>
      <c r="E75" s="1" t="s">
        <v>130</v>
      </c>
      <c r="F75" s="1" t="s">
        <v>296</v>
      </c>
      <c r="G75" s="1" t="s">
        <v>298</v>
      </c>
      <c r="H75" s="135">
        <v>46250</v>
      </c>
    </row>
    <row r="76" spans="2:8" x14ac:dyDescent="0.25">
      <c r="B76" s="70">
        <v>53</v>
      </c>
      <c r="C76" s="66"/>
      <c r="D76" s="67">
        <v>-142396.26999999999</v>
      </c>
      <c r="E76" s="1" t="s">
        <v>130</v>
      </c>
      <c r="F76" s="1" t="s">
        <v>296</v>
      </c>
      <c r="G76" s="1" t="s">
        <v>299</v>
      </c>
      <c r="H76" s="135">
        <v>46250</v>
      </c>
    </row>
    <row r="77" spans="2:8" x14ac:dyDescent="0.25">
      <c r="B77" s="70">
        <v>54</v>
      </c>
      <c r="C77" s="66"/>
      <c r="D77" s="67">
        <v>-10998</v>
      </c>
      <c r="E77" s="1" t="s">
        <v>130</v>
      </c>
      <c r="F77" s="1" t="s">
        <v>296</v>
      </c>
      <c r="G77" s="1" t="s">
        <v>300</v>
      </c>
      <c r="H77" s="135">
        <v>46250</v>
      </c>
    </row>
    <row r="78" spans="2:8" x14ac:dyDescent="0.25">
      <c r="B78" s="70">
        <v>55</v>
      </c>
      <c r="C78" s="66"/>
      <c r="D78" s="67">
        <v>-36050</v>
      </c>
      <c r="E78" s="1" t="s">
        <v>130</v>
      </c>
      <c r="F78" s="1" t="s">
        <v>296</v>
      </c>
      <c r="G78" s="1" t="s">
        <v>301</v>
      </c>
      <c r="H78" s="135">
        <v>46251</v>
      </c>
    </row>
    <row r="79" spans="2:8" x14ac:dyDescent="0.25">
      <c r="B79" s="4">
        <v>56</v>
      </c>
      <c r="C79" s="66"/>
      <c r="D79" s="67">
        <v>-24020</v>
      </c>
      <c r="E79" s="1" t="s">
        <v>130</v>
      </c>
      <c r="F79" s="1" t="s">
        <v>296</v>
      </c>
      <c r="G79" s="1" t="s">
        <v>302</v>
      </c>
      <c r="H79" s="135">
        <v>46251</v>
      </c>
    </row>
    <row r="80" spans="2:8" x14ac:dyDescent="0.25">
      <c r="B80" s="70">
        <v>57</v>
      </c>
      <c r="C80" s="66"/>
      <c r="D80" s="67">
        <v>-50000</v>
      </c>
      <c r="E80" s="1" t="s">
        <v>115</v>
      </c>
      <c r="F80" s="68" t="s">
        <v>165</v>
      </c>
      <c r="G80" s="1" t="s">
        <v>303</v>
      </c>
      <c r="H80" s="135">
        <v>46252</v>
      </c>
    </row>
    <row r="81" spans="2:8" x14ac:dyDescent="0.25">
      <c r="B81" s="70">
        <v>58</v>
      </c>
      <c r="C81" s="66">
        <v>50000</v>
      </c>
      <c r="D81" s="67"/>
      <c r="E81" s="1" t="s">
        <v>130</v>
      </c>
      <c r="F81" s="68" t="s">
        <v>165</v>
      </c>
      <c r="G81" s="1" t="s">
        <v>303</v>
      </c>
      <c r="H81" s="135">
        <v>46252</v>
      </c>
    </row>
    <row r="82" spans="2:8" x14ac:dyDescent="0.25">
      <c r="B82" s="70">
        <v>59</v>
      </c>
      <c r="C82" s="66"/>
      <c r="D82" s="67">
        <v>-56400</v>
      </c>
      <c r="E82" s="1" t="s">
        <v>130</v>
      </c>
      <c r="F82" s="1" t="s">
        <v>221</v>
      </c>
      <c r="G82" s="68" t="s">
        <v>304</v>
      </c>
      <c r="H82" s="135">
        <v>46252</v>
      </c>
    </row>
    <row r="83" spans="2:8" x14ac:dyDescent="0.25">
      <c r="B83" s="70">
        <v>60</v>
      </c>
      <c r="C83" s="66"/>
      <c r="D83" s="67">
        <v>-56379.08</v>
      </c>
      <c r="E83" s="1" t="s">
        <v>114</v>
      </c>
      <c r="F83" s="1" t="s">
        <v>221</v>
      </c>
      <c r="G83" s="1" t="s">
        <v>221</v>
      </c>
      <c r="H83" s="135">
        <v>46252</v>
      </c>
    </row>
    <row r="84" spans="2:8" x14ac:dyDescent="0.25">
      <c r="B84" s="4">
        <v>61</v>
      </c>
      <c r="C84" s="66">
        <v>56400</v>
      </c>
      <c r="D84" s="67"/>
      <c r="E84" s="1" t="s">
        <v>114</v>
      </c>
      <c r="F84" s="1" t="s">
        <v>221</v>
      </c>
      <c r="G84" s="1" t="s">
        <v>305</v>
      </c>
      <c r="H84" s="135">
        <v>46252</v>
      </c>
    </row>
    <row r="85" spans="2:8" x14ac:dyDescent="0.25">
      <c r="B85" s="70">
        <v>62</v>
      </c>
      <c r="D85" s="141">
        <v>-3200</v>
      </c>
      <c r="E85" s="1" t="s">
        <v>130</v>
      </c>
      <c r="F85" s="1" t="s">
        <v>149</v>
      </c>
      <c r="G85" s="1" t="s">
        <v>309</v>
      </c>
      <c r="H85" s="135">
        <v>46253</v>
      </c>
    </row>
    <row r="86" spans="2:8" x14ac:dyDescent="0.25">
      <c r="B86" s="70">
        <v>63</v>
      </c>
      <c r="D86" s="141">
        <v>-45000</v>
      </c>
      <c r="E86" s="1" t="s">
        <v>130</v>
      </c>
      <c r="F86" s="1" t="s">
        <v>202</v>
      </c>
      <c r="G86" s="1" t="s">
        <v>310</v>
      </c>
      <c r="H86" s="135">
        <v>46253</v>
      </c>
    </row>
    <row r="87" spans="2:8" x14ac:dyDescent="0.25">
      <c r="B87" s="70">
        <v>64</v>
      </c>
      <c r="D87" s="141">
        <v>-16000</v>
      </c>
      <c r="E87" s="1" t="s">
        <v>130</v>
      </c>
      <c r="F87" s="1" t="s">
        <v>154</v>
      </c>
      <c r="G87" s="1" t="s">
        <v>311</v>
      </c>
      <c r="H87" s="135">
        <v>46253</v>
      </c>
    </row>
    <row r="88" spans="2:8" x14ac:dyDescent="0.25">
      <c r="B88" s="70">
        <v>65</v>
      </c>
      <c r="D88" s="141">
        <v>-8400</v>
      </c>
      <c r="E88" s="1" t="s">
        <v>130</v>
      </c>
      <c r="F88" s="1" t="s">
        <v>152</v>
      </c>
      <c r="G88" s="1" t="s">
        <v>317</v>
      </c>
      <c r="H88" s="135">
        <v>46253</v>
      </c>
    </row>
    <row r="89" spans="2:8" x14ac:dyDescent="0.25">
      <c r="B89" s="70">
        <v>68</v>
      </c>
      <c r="C89" s="66"/>
      <c r="D89" s="67">
        <v>-100000</v>
      </c>
      <c r="E89" s="1" t="s">
        <v>115</v>
      </c>
      <c r="F89" s="68" t="s">
        <v>165</v>
      </c>
      <c r="G89" s="1" t="s">
        <v>312</v>
      </c>
      <c r="H89" s="135">
        <v>46253</v>
      </c>
    </row>
    <row r="90" spans="2:8" x14ac:dyDescent="0.25">
      <c r="B90" s="70">
        <v>69</v>
      </c>
      <c r="C90" s="66">
        <v>100000</v>
      </c>
      <c r="D90" s="67"/>
      <c r="E90" s="1" t="s">
        <v>130</v>
      </c>
      <c r="F90" s="68" t="s">
        <v>165</v>
      </c>
      <c r="G90" s="1" t="s">
        <v>312</v>
      </c>
      <c r="H90" s="135">
        <v>46253</v>
      </c>
    </row>
    <row r="91" spans="2:8" x14ac:dyDescent="0.25">
      <c r="B91" s="4">
        <v>66</v>
      </c>
      <c r="C91" s="66">
        <v>366000</v>
      </c>
      <c r="D91" s="67"/>
      <c r="E91" s="1" t="s">
        <v>130</v>
      </c>
      <c r="F91" s="1" t="s">
        <v>149</v>
      </c>
      <c r="G91" s="1" t="s">
        <v>306</v>
      </c>
      <c r="H91" s="135">
        <v>46254</v>
      </c>
    </row>
    <row r="92" spans="2:8" x14ac:dyDescent="0.25">
      <c r="B92" s="70">
        <v>67</v>
      </c>
      <c r="C92" s="66"/>
      <c r="D92" s="67">
        <v>-396750</v>
      </c>
      <c r="E92" s="1" t="s">
        <v>130</v>
      </c>
      <c r="F92" s="1" t="s">
        <v>149</v>
      </c>
      <c r="G92" s="1" t="s">
        <v>307</v>
      </c>
      <c r="H92" s="135">
        <v>46254</v>
      </c>
    </row>
    <row r="93" spans="2:8" x14ac:dyDescent="0.25">
      <c r="B93" s="70">
        <v>70</v>
      </c>
      <c r="C93" s="66"/>
      <c r="D93" s="67">
        <v>-100000</v>
      </c>
      <c r="E93" s="1" t="s">
        <v>115</v>
      </c>
      <c r="F93" s="68" t="s">
        <v>165</v>
      </c>
      <c r="G93" s="1" t="s">
        <v>308</v>
      </c>
      <c r="H93" s="135">
        <v>46254</v>
      </c>
    </row>
    <row r="94" spans="2:8" x14ac:dyDescent="0.25">
      <c r="B94" s="4">
        <v>71</v>
      </c>
      <c r="C94" s="66">
        <v>100000</v>
      </c>
      <c r="D94" s="67"/>
      <c r="E94" s="1" t="s">
        <v>130</v>
      </c>
      <c r="F94" s="68" t="s">
        <v>165</v>
      </c>
      <c r="G94" s="1" t="s">
        <v>308</v>
      </c>
      <c r="H94" s="135">
        <v>46254</v>
      </c>
    </row>
    <row r="95" spans="2:8" x14ac:dyDescent="0.25">
      <c r="B95" s="70">
        <v>72</v>
      </c>
      <c r="C95" s="66"/>
      <c r="D95" s="67">
        <v>-8600</v>
      </c>
      <c r="E95" s="1" t="s">
        <v>130</v>
      </c>
      <c r="F95" s="1" t="s">
        <v>154</v>
      </c>
      <c r="G95" s="1" t="s">
        <v>314</v>
      </c>
      <c r="H95" s="135">
        <v>46255</v>
      </c>
    </row>
    <row r="96" spans="2:8" x14ac:dyDescent="0.25">
      <c r="B96" s="70">
        <v>73</v>
      </c>
      <c r="C96" s="66"/>
      <c r="D96" s="67">
        <v>-22000</v>
      </c>
      <c r="E96" s="1" t="s">
        <v>130</v>
      </c>
      <c r="F96" s="1" t="s">
        <v>153</v>
      </c>
      <c r="G96" s="1" t="s">
        <v>313</v>
      </c>
      <c r="H96" s="135">
        <v>46256</v>
      </c>
    </row>
    <row r="97" spans="2:8" x14ac:dyDescent="0.25">
      <c r="B97" s="70">
        <v>74</v>
      </c>
      <c r="C97" s="66">
        <v>134000</v>
      </c>
      <c r="D97" s="67"/>
      <c r="E97" s="1" t="s">
        <v>130</v>
      </c>
      <c r="F97" s="1" t="s">
        <v>157</v>
      </c>
      <c r="G97" s="1" t="s">
        <v>315</v>
      </c>
      <c r="H97" s="135">
        <v>46256</v>
      </c>
    </row>
    <row r="98" spans="2:8" x14ac:dyDescent="0.25">
      <c r="B98" s="70">
        <v>75</v>
      </c>
      <c r="C98" s="66"/>
      <c r="D98" s="67">
        <v>-10000</v>
      </c>
      <c r="E98" s="1" t="s">
        <v>130</v>
      </c>
      <c r="F98" s="1" t="s">
        <v>250</v>
      </c>
      <c r="G98" s="1" t="s">
        <v>316</v>
      </c>
      <c r="H98" s="135">
        <v>46256</v>
      </c>
    </row>
    <row r="99" spans="2:8" x14ac:dyDescent="0.25">
      <c r="B99" s="4">
        <v>76</v>
      </c>
      <c r="C99" s="66"/>
      <c r="D99" s="67">
        <v>-25000</v>
      </c>
      <c r="E99" s="1" t="s">
        <v>118</v>
      </c>
      <c r="F99" s="1" t="s">
        <v>137</v>
      </c>
      <c r="G99" s="1" t="s">
        <v>318</v>
      </c>
      <c r="H99" s="135">
        <v>46256</v>
      </c>
    </row>
    <row r="100" spans="2:8" x14ac:dyDescent="0.25">
      <c r="B100" s="70">
        <v>77</v>
      </c>
      <c r="C100" s="66"/>
      <c r="D100" s="67">
        <v>-5000</v>
      </c>
      <c r="E100" s="1" t="s">
        <v>118</v>
      </c>
      <c r="F100" s="1" t="s">
        <v>151</v>
      </c>
      <c r="G100" s="1" t="s">
        <v>319</v>
      </c>
      <c r="H100" s="135">
        <v>46257</v>
      </c>
    </row>
    <row r="101" spans="2:8" x14ac:dyDescent="0.25">
      <c r="B101" s="70">
        <v>78</v>
      </c>
      <c r="C101" s="66">
        <v>200000</v>
      </c>
      <c r="D101" s="67"/>
      <c r="E101" s="1" t="s">
        <v>115</v>
      </c>
      <c r="F101" s="68" t="s">
        <v>166</v>
      </c>
      <c r="G101" s="1" t="s">
        <v>320</v>
      </c>
      <c r="H101" s="135">
        <v>46258</v>
      </c>
    </row>
    <row r="102" spans="2:8" x14ac:dyDescent="0.25">
      <c r="B102" s="70">
        <v>79</v>
      </c>
      <c r="C102" s="66"/>
      <c r="D102" s="67">
        <v>-200000</v>
      </c>
      <c r="E102" s="1" t="s">
        <v>130</v>
      </c>
      <c r="F102" s="68" t="s">
        <v>166</v>
      </c>
      <c r="G102" s="1" t="s">
        <v>320</v>
      </c>
      <c r="H102" s="135">
        <v>46258</v>
      </c>
    </row>
    <row r="103" spans="2:8" x14ac:dyDescent="0.25">
      <c r="B103" s="70">
        <v>80</v>
      </c>
      <c r="C103" s="66"/>
      <c r="D103" s="67">
        <v>-6700</v>
      </c>
      <c r="E103" s="1" t="s">
        <v>130</v>
      </c>
      <c r="F103" s="1" t="s">
        <v>152</v>
      </c>
      <c r="G103" s="1" t="s">
        <v>321</v>
      </c>
      <c r="H103" s="135">
        <v>46258</v>
      </c>
    </row>
    <row r="104" spans="2:8" x14ac:dyDescent="0.25">
      <c r="B104" s="4">
        <v>81</v>
      </c>
      <c r="C104" s="66">
        <v>30386</v>
      </c>
      <c r="D104" s="67"/>
      <c r="E104" s="1" t="s">
        <v>130</v>
      </c>
      <c r="F104" s="1" t="s">
        <v>202</v>
      </c>
      <c r="G104" s="1" t="s">
        <v>322</v>
      </c>
      <c r="H104" s="135">
        <v>46259</v>
      </c>
    </row>
    <row r="105" spans="2:8" x14ac:dyDescent="0.25">
      <c r="B105" s="70">
        <v>82</v>
      </c>
      <c r="C105" s="66">
        <v>600</v>
      </c>
      <c r="D105" s="67"/>
      <c r="E105" s="1" t="s">
        <v>130</v>
      </c>
      <c r="F105" s="1" t="s">
        <v>296</v>
      </c>
      <c r="G105" s="1" t="s">
        <v>324</v>
      </c>
      <c r="H105" s="135">
        <v>46259</v>
      </c>
    </row>
    <row r="106" spans="2:8" x14ac:dyDescent="0.25">
      <c r="B106" s="70">
        <v>83</v>
      </c>
      <c r="C106" s="66"/>
      <c r="D106" s="67">
        <v>-600</v>
      </c>
      <c r="E106" s="1" t="s">
        <v>114</v>
      </c>
      <c r="F106" s="1" t="s">
        <v>296</v>
      </c>
      <c r="G106" s="1" t="s">
        <v>324</v>
      </c>
      <c r="H106" s="135">
        <v>46259</v>
      </c>
    </row>
    <row r="107" spans="2:8" x14ac:dyDescent="0.25">
      <c r="B107" s="70">
        <v>84</v>
      </c>
      <c r="C107" s="66"/>
      <c r="D107" s="67">
        <v>-32500</v>
      </c>
      <c r="E107" s="1" t="s">
        <v>130</v>
      </c>
      <c r="F107" s="1" t="s">
        <v>296</v>
      </c>
      <c r="G107" s="1" t="s">
        <v>325</v>
      </c>
      <c r="H107" s="135">
        <v>46259</v>
      </c>
    </row>
    <row r="108" spans="2:8" x14ac:dyDescent="0.25">
      <c r="B108" s="70">
        <v>85</v>
      </c>
      <c r="C108" s="66"/>
      <c r="D108" s="67">
        <v>-60000</v>
      </c>
      <c r="E108" s="1" t="s">
        <v>115</v>
      </c>
      <c r="F108" s="68" t="s">
        <v>165</v>
      </c>
      <c r="G108" s="1" t="s">
        <v>224</v>
      </c>
      <c r="H108" s="135">
        <v>46260</v>
      </c>
    </row>
    <row r="109" spans="2:8" x14ac:dyDescent="0.25">
      <c r="B109" s="4">
        <v>86</v>
      </c>
      <c r="C109" s="66">
        <v>60000</v>
      </c>
      <c r="D109" s="67"/>
      <c r="E109" s="1" t="s">
        <v>130</v>
      </c>
      <c r="F109" s="68" t="s">
        <v>165</v>
      </c>
      <c r="G109" s="1" t="s">
        <v>224</v>
      </c>
      <c r="H109" s="135">
        <v>46260</v>
      </c>
    </row>
    <row r="110" spans="2:8" x14ac:dyDescent="0.25">
      <c r="B110" s="70">
        <v>87</v>
      </c>
      <c r="C110" s="66"/>
      <c r="D110" s="67">
        <v>-45000</v>
      </c>
      <c r="E110" s="1" t="s">
        <v>130</v>
      </c>
      <c r="F110" s="1" t="s">
        <v>202</v>
      </c>
      <c r="G110" s="1" t="s">
        <v>326</v>
      </c>
      <c r="H110" s="135">
        <v>46260</v>
      </c>
    </row>
    <row r="111" spans="2:8" x14ac:dyDescent="0.25">
      <c r="B111" s="70">
        <v>88</v>
      </c>
      <c r="C111" s="66">
        <v>16250</v>
      </c>
      <c r="D111" s="67"/>
      <c r="E111" s="1" t="s">
        <v>130</v>
      </c>
      <c r="F111" s="1" t="s">
        <v>296</v>
      </c>
      <c r="G111" s="1" t="s">
        <v>417</v>
      </c>
      <c r="H111" s="135">
        <v>46260</v>
      </c>
    </row>
    <row r="112" spans="2:8" x14ac:dyDescent="0.25">
      <c r="B112" s="70">
        <v>89</v>
      </c>
      <c r="C112" s="66">
        <v>29950</v>
      </c>
      <c r="D112" s="67"/>
      <c r="E112" s="1" t="s">
        <v>130</v>
      </c>
      <c r="F112" s="1" t="s">
        <v>136</v>
      </c>
      <c r="G112" s="1" t="s">
        <v>418</v>
      </c>
      <c r="H112" s="135">
        <v>46260</v>
      </c>
    </row>
    <row r="113" spans="2:8" x14ac:dyDescent="0.25">
      <c r="B113" s="70">
        <v>90</v>
      </c>
      <c r="C113" s="66"/>
      <c r="D113" s="67">
        <v>-27975</v>
      </c>
      <c r="E113" s="1" t="s">
        <v>130</v>
      </c>
      <c r="F113" s="1" t="s">
        <v>419</v>
      </c>
      <c r="G113" s="1" t="s">
        <v>420</v>
      </c>
      <c r="H113" s="135">
        <v>46260</v>
      </c>
    </row>
    <row r="114" spans="2:8" x14ac:dyDescent="0.25">
      <c r="B114" s="4">
        <v>91</v>
      </c>
      <c r="C114" s="66"/>
      <c r="D114" s="67">
        <v>-2400</v>
      </c>
      <c r="E114" s="1" t="s">
        <v>130</v>
      </c>
      <c r="F114" s="1" t="s">
        <v>230</v>
      </c>
      <c r="G114" s="1" t="s">
        <v>421</v>
      </c>
      <c r="H114" s="135">
        <v>46260</v>
      </c>
    </row>
    <row r="115" spans="2:8" x14ac:dyDescent="0.25">
      <c r="B115" s="70">
        <v>92</v>
      </c>
      <c r="C115" s="66"/>
      <c r="D115" s="67">
        <v>-30000</v>
      </c>
      <c r="E115" s="1" t="s">
        <v>130</v>
      </c>
      <c r="F115" s="1" t="s">
        <v>137</v>
      </c>
      <c r="G115" s="1" t="s">
        <v>244</v>
      </c>
      <c r="H115" s="135">
        <v>46260</v>
      </c>
    </row>
    <row r="116" spans="2:8" x14ac:dyDescent="0.25">
      <c r="B116" s="70">
        <v>93</v>
      </c>
      <c r="C116" s="66"/>
      <c r="D116" s="67">
        <v>-8900</v>
      </c>
      <c r="E116" s="1" t="s">
        <v>130</v>
      </c>
      <c r="F116" s="1" t="s">
        <v>149</v>
      </c>
      <c r="G116" s="1" t="s">
        <v>422</v>
      </c>
      <c r="H116" s="135">
        <v>46260</v>
      </c>
    </row>
    <row r="117" spans="2:8" x14ac:dyDescent="0.25">
      <c r="B117" s="70">
        <v>94</v>
      </c>
      <c r="C117" s="66"/>
      <c r="D117" s="67">
        <v>-30000</v>
      </c>
      <c r="E117" s="1" t="s">
        <v>115</v>
      </c>
      <c r="F117" s="68" t="s">
        <v>165</v>
      </c>
      <c r="G117" s="1" t="s">
        <v>312</v>
      </c>
      <c r="H117" s="135">
        <v>46260</v>
      </c>
    </row>
    <row r="118" spans="2:8" x14ac:dyDescent="0.25">
      <c r="B118" s="70">
        <v>95</v>
      </c>
      <c r="C118" s="66">
        <v>30000</v>
      </c>
      <c r="D118" s="67"/>
      <c r="E118" s="1" t="s">
        <v>130</v>
      </c>
      <c r="F118" s="68" t="s">
        <v>165</v>
      </c>
      <c r="G118" s="1" t="s">
        <v>312</v>
      </c>
      <c r="H118" s="135">
        <v>46260</v>
      </c>
    </row>
    <row r="119" spans="2:8" x14ac:dyDescent="0.25">
      <c r="B119" s="4">
        <v>96</v>
      </c>
      <c r="C119" s="66"/>
      <c r="D119" s="67">
        <v>-20000</v>
      </c>
      <c r="E119" s="1" t="s">
        <v>130</v>
      </c>
      <c r="F119" s="1" t="s">
        <v>153</v>
      </c>
      <c r="G119" s="1" t="s">
        <v>423</v>
      </c>
      <c r="H119" s="135">
        <v>46261</v>
      </c>
    </row>
    <row r="120" spans="2:8" x14ac:dyDescent="0.25">
      <c r="B120" s="70">
        <v>97</v>
      </c>
      <c r="C120" s="66">
        <v>3340</v>
      </c>
      <c r="D120" s="67"/>
      <c r="E120" s="1" t="s">
        <v>130</v>
      </c>
      <c r="F120" s="1" t="s">
        <v>153</v>
      </c>
      <c r="G120" s="1" t="s">
        <v>424</v>
      </c>
      <c r="H120" s="135">
        <v>46261</v>
      </c>
    </row>
    <row r="121" spans="2:8" x14ac:dyDescent="0.25">
      <c r="B121" s="70">
        <v>98</v>
      </c>
      <c r="C121" s="66">
        <v>8330</v>
      </c>
      <c r="D121" s="67"/>
      <c r="E121" s="1" t="s">
        <v>130</v>
      </c>
      <c r="F121" s="1" t="s">
        <v>153</v>
      </c>
      <c r="G121" s="1" t="s">
        <v>425</v>
      </c>
      <c r="H121" s="135">
        <v>46261</v>
      </c>
    </row>
    <row r="122" spans="2:8" x14ac:dyDescent="0.25">
      <c r="B122" s="70">
        <v>99</v>
      </c>
      <c r="C122" s="66">
        <v>63000</v>
      </c>
      <c r="D122" s="67"/>
      <c r="E122" s="1" t="s">
        <v>130</v>
      </c>
      <c r="F122" s="1" t="s">
        <v>157</v>
      </c>
      <c r="G122" s="1" t="s">
        <v>426</v>
      </c>
      <c r="H122" s="135">
        <v>46264</v>
      </c>
    </row>
    <row r="123" spans="2:8" x14ac:dyDescent="0.25">
      <c r="B123" s="70">
        <v>100</v>
      </c>
      <c r="C123" s="66"/>
      <c r="D123" s="67">
        <v>-32220</v>
      </c>
      <c r="E123" s="1" t="s">
        <v>130</v>
      </c>
      <c r="F123" s="1" t="s">
        <v>427</v>
      </c>
      <c r="G123" s="1" t="s">
        <v>428</v>
      </c>
      <c r="H123" s="135">
        <v>46265</v>
      </c>
    </row>
    <row r="124" spans="2:8" x14ac:dyDescent="0.25">
      <c r="B124" s="4">
        <v>101</v>
      </c>
      <c r="C124" s="66">
        <v>2094451.14</v>
      </c>
      <c r="D124" s="67"/>
      <c r="E124" s="1" t="s">
        <v>130</v>
      </c>
      <c r="F124" s="1" t="s">
        <v>158</v>
      </c>
      <c r="G124" s="1" t="s">
        <v>429</v>
      </c>
      <c r="H124" s="135">
        <v>46265</v>
      </c>
    </row>
    <row r="125" spans="2:8" x14ac:dyDescent="0.25">
      <c r="B125" s="70">
        <v>102</v>
      </c>
      <c r="C125" s="66"/>
      <c r="D125" s="67"/>
      <c r="E125" s="1"/>
      <c r="F125" s="1"/>
      <c r="G125" s="1"/>
      <c r="H125" s="5"/>
    </row>
    <row r="126" spans="2:8" x14ac:dyDescent="0.25">
      <c r="B126" s="70">
        <v>103</v>
      </c>
      <c r="C126" s="66"/>
      <c r="D126" s="67"/>
      <c r="E126" s="1"/>
      <c r="F126" s="1"/>
      <c r="G126" s="1"/>
      <c r="H126" s="5"/>
    </row>
    <row r="127" spans="2:8" x14ac:dyDescent="0.25">
      <c r="B127" s="70">
        <v>104</v>
      </c>
      <c r="C127" s="66"/>
      <c r="D127" s="67"/>
      <c r="E127" s="1"/>
      <c r="F127" s="1"/>
      <c r="G127" s="1"/>
      <c r="H127" s="5"/>
    </row>
    <row r="128" spans="2:8" x14ac:dyDescent="0.25">
      <c r="B128" s="70">
        <v>105</v>
      </c>
      <c r="C128" s="66"/>
      <c r="D128" s="67"/>
      <c r="E128" s="1"/>
      <c r="F128" s="1"/>
      <c r="G128" s="1"/>
      <c r="H128" s="5"/>
    </row>
    <row r="129" spans="2:8" x14ac:dyDescent="0.25">
      <c r="B129" s="4">
        <v>106</v>
      </c>
      <c r="C129" s="66"/>
      <c r="D129" s="67"/>
      <c r="E129" s="1"/>
      <c r="F129" s="1"/>
      <c r="G129" s="1"/>
      <c r="H129" s="5"/>
    </row>
    <row r="130" spans="2:8" x14ac:dyDescent="0.25">
      <c r="B130" s="70">
        <v>107</v>
      </c>
      <c r="C130" s="66"/>
      <c r="D130" s="67"/>
      <c r="E130" s="1"/>
      <c r="F130" s="1"/>
      <c r="G130" s="1"/>
      <c r="H130" s="5"/>
    </row>
    <row r="131" spans="2:8" x14ac:dyDescent="0.25">
      <c r="B131" s="70">
        <v>108</v>
      </c>
      <c r="C131" s="66"/>
      <c r="D131" s="67"/>
      <c r="E131" s="1"/>
      <c r="F131" s="1"/>
      <c r="G131" s="1"/>
      <c r="H131" s="5"/>
    </row>
    <row r="132" spans="2:8" x14ac:dyDescent="0.25">
      <c r="B132" s="70">
        <v>109</v>
      </c>
      <c r="C132" s="66"/>
      <c r="D132" s="67"/>
      <c r="E132" s="1"/>
      <c r="F132" s="1"/>
      <c r="G132" s="1"/>
      <c r="H132" s="5"/>
    </row>
    <row r="133" spans="2:8" x14ac:dyDescent="0.25">
      <c r="B133" s="70">
        <v>110</v>
      </c>
      <c r="C133" s="66"/>
      <c r="D133" s="67"/>
      <c r="E133" s="1"/>
      <c r="F133" s="1"/>
      <c r="G133" s="1"/>
      <c r="H133" s="5"/>
    </row>
    <row r="134" spans="2:8" x14ac:dyDescent="0.25">
      <c r="B134" s="4">
        <v>111</v>
      </c>
      <c r="C134" s="66"/>
      <c r="D134" s="67"/>
      <c r="E134" s="1"/>
      <c r="F134" s="1"/>
      <c r="G134" s="1"/>
      <c r="H134" s="5"/>
    </row>
    <row r="135" spans="2:8" x14ac:dyDescent="0.25">
      <c r="B135" s="70">
        <v>112</v>
      </c>
      <c r="C135" s="66"/>
      <c r="D135" s="67"/>
      <c r="E135" s="1"/>
      <c r="F135" s="1"/>
      <c r="G135" s="1"/>
      <c r="H135" s="5"/>
    </row>
    <row r="136" spans="2:8" x14ac:dyDescent="0.25">
      <c r="B136" s="70">
        <v>113</v>
      </c>
      <c r="C136" s="66"/>
      <c r="D136" s="67"/>
      <c r="E136" s="1"/>
      <c r="F136" s="1"/>
      <c r="G136" s="1"/>
      <c r="H136" s="5"/>
    </row>
    <row r="137" spans="2:8" x14ac:dyDescent="0.25">
      <c r="B137" s="70">
        <v>114</v>
      </c>
      <c r="C137" s="66"/>
      <c r="D137" s="67"/>
      <c r="E137" s="1"/>
      <c r="F137" s="1"/>
      <c r="G137" s="1"/>
      <c r="H137" s="5"/>
    </row>
    <row r="138" spans="2:8" x14ac:dyDescent="0.25">
      <c r="B138" s="70">
        <v>115</v>
      </c>
      <c r="C138" s="66"/>
      <c r="D138" s="67"/>
      <c r="E138" s="1"/>
      <c r="F138" s="1"/>
      <c r="G138" s="1"/>
      <c r="H138" s="5"/>
    </row>
    <row r="139" spans="2:8" x14ac:dyDescent="0.25">
      <c r="B139" s="4">
        <v>116</v>
      </c>
      <c r="C139" s="66"/>
      <c r="D139" s="67"/>
      <c r="E139" s="1"/>
      <c r="F139" s="1"/>
      <c r="G139" s="1"/>
      <c r="H139" s="5"/>
    </row>
    <row r="140" spans="2:8" x14ac:dyDescent="0.25">
      <c r="B140" s="70">
        <v>117</v>
      </c>
      <c r="C140" s="66"/>
      <c r="D140" s="67"/>
      <c r="E140" s="1"/>
      <c r="F140" s="1"/>
      <c r="G140" s="1"/>
      <c r="H140" s="5"/>
    </row>
    <row r="141" spans="2:8" x14ac:dyDescent="0.25">
      <c r="B141" s="70">
        <v>118</v>
      </c>
      <c r="C141" s="66"/>
      <c r="D141" s="67"/>
      <c r="E141" s="1"/>
      <c r="F141" s="1"/>
      <c r="G141" s="1"/>
      <c r="H141" s="5"/>
    </row>
    <row r="142" spans="2:8" x14ac:dyDescent="0.25">
      <c r="B142" s="70">
        <v>119</v>
      </c>
      <c r="C142" s="66"/>
      <c r="D142" s="67"/>
      <c r="E142" s="1"/>
      <c r="F142" s="1"/>
      <c r="G142" s="1"/>
      <c r="H142" s="5"/>
    </row>
    <row r="143" spans="2:8" x14ac:dyDescent="0.25">
      <c r="B143" s="70">
        <v>120</v>
      </c>
      <c r="C143" s="66"/>
      <c r="D143" s="67"/>
      <c r="E143" s="1"/>
      <c r="F143" s="1"/>
      <c r="G143" s="1"/>
      <c r="H143" s="5"/>
    </row>
    <row r="144" spans="2:8" x14ac:dyDescent="0.25">
      <c r="B144" s="4">
        <v>121</v>
      </c>
      <c r="C144" s="66"/>
      <c r="D144" s="67"/>
      <c r="E144" s="1"/>
      <c r="F144" s="1"/>
      <c r="G144" s="1"/>
      <c r="H144" s="5"/>
    </row>
    <row r="145" spans="2:8" x14ac:dyDescent="0.25">
      <c r="B145" s="70">
        <v>122</v>
      </c>
      <c r="C145" s="66"/>
      <c r="D145" s="67"/>
      <c r="E145" s="1"/>
      <c r="F145" s="1"/>
      <c r="G145" s="1"/>
      <c r="H145" s="5"/>
    </row>
    <row r="146" spans="2:8" x14ac:dyDescent="0.25">
      <c r="B146" s="70">
        <v>123</v>
      </c>
      <c r="C146" s="66"/>
      <c r="D146" s="67"/>
      <c r="E146" s="1"/>
      <c r="F146" s="1"/>
      <c r="G146" s="1"/>
      <c r="H146" s="5"/>
    </row>
    <row r="147" spans="2:8" x14ac:dyDescent="0.25">
      <c r="B147" s="70">
        <v>124</v>
      </c>
      <c r="C147" s="66"/>
      <c r="D147" s="67"/>
      <c r="E147" s="1"/>
      <c r="F147" s="1"/>
      <c r="G147" s="1"/>
      <c r="H147" s="5"/>
    </row>
    <row r="148" spans="2:8" x14ac:dyDescent="0.25">
      <c r="B148" s="70">
        <v>125</v>
      </c>
      <c r="C148" s="66"/>
      <c r="D148" s="67"/>
      <c r="E148" s="1"/>
      <c r="F148" s="1"/>
      <c r="G148" s="1"/>
      <c r="H148" s="5"/>
    </row>
    <row r="149" spans="2:8" x14ac:dyDescent="0.25">
      <c r="B149" s="4">
        <v>126</v>
      </c>
      <c r="C149" s="66"/>
      <c r="D149" s="67"/>
      <c r="E149" s="1"/>
      <c r="F149" s="1"/>
      <c r="G149" s="1"/>
      <c r="H149" s="5"/>
    </row>
    <row r="150" spans="2:8" x14ac:dyDescent="0.25">
      <c r="B150" s="70">
        <v>127</v>
      </c>
      <c r="C150" s="66"/>
      <c r="D150" s="67"/>
      <c r="E150" s="1"/>
      <c r="F150" s="1"/>
      <c r="G150" s="1"/>
      <c r="H150" s="5"/>
    </row>
    <row r="151" spans="2:8" x14ac:dyDescent="0.25">
      <c r="B151" s="70">
        <v>128</v>
      </c>
      <c r="C151" s="66"/>
      <c r="D151" s="67"/>
      <c r="E151" s="1"/>
      <c r="F151" s="1"/>
      <c r="G151" s="1"/>
      <c r="H151" s="5"/>
    </row>
    <row r="152" spans="2:8" x14ac:dyDescent="0.25">
      <c r="B152" s="70">
        <v>129</v>
      </c>
      <c r="C152" s="66"/>
      <c r="D152" s="67"/>
      <c r="E152" s="1"/>
      <c r="F152" s="1"/>
      <c r="G152" s="1"/>
      <c r="H152" s="5"/>
    </row>
    <row r="153" spans="2:8" x14ac:dyDescent="0.25">
      <c r="B153" s="70">
        <v>130</v>
      </c>
      <c r="C153" s="66"/>
      <c r="D153" s="67"/>
      <c r="E153" s="1"/>
      <c r="F153" s="1"/>
      <c r="G153" s="1"/>
      <c r="H153" s="5"/>
    </row>
    <row r="154" spans="2:8" x14ac:dyDescent="0.25">
      <c r="B154" s="4">
        <v>131</v>
      </c>
      <c r="C154" s="66"/>
      <c r="D154" s="67"/>
      <c r="E154" s="1"/>
      <c r="F154" s="1"/>
      <c r="G154" s="1"/>
      <c r="H154" s="5"/>
    </row>
    <row r="155" spans="2:8" x14ac:dyDescent="0.25">
      <c r="B155" s="70">
        <v>132</v>
      </c>
      <c r="C155" s="66"/>
      <c r="D155" s="67"/>
      <c r="E155" s="1"/>
      <c r="F155" s="1"/>
      <c r="G155" s="1"/>
      <c r="H155" s="5"/>
    </row>
    <row r="156" spans="2:8" x14ac:dyDescent="0.25">
      <c r="B156" s="70">
        <v>133</v>
      </c>
      <c r="C156" s="66"/>
      <c r="D156" s="67"/>
      <c r="E156" s="1"/>
      <c r="F156" s="1"/>
      <c r="G156" s="1"/>
      <c r="H156" s="5"/>
    </row>
    <row r="157" spans="2:8" x14ac:dyDescent="0.25">
      <c r="B157" s="70">
        <v>134</v>
      </c>
      <c r="C157" s="66"/>
      <c r="D157" s="67"/>
      <c r="E157" s="1"/>
      <c r="F157" s="1"/>
      <c r="G157" s="1"/>
      <c r="H157" s="5"/>
    </row>
    <row r="158" spans="2:8" x14ac:dyDescent="0.25">
      <c r="B158" s="70">
        <v>135</v>
      </c>
      <c r="C158" s="66"/>
      <c r="D158" s="67"/>
      <c r="E158" s="1"/>
      <c r="F158" s="1"/>
      <c r="G158" s="1"/>
      <c r="H158" s="5"/>
    </row>
    <row r="159" spans="2:8" x14ac:dyDescent="0.25">
      <c r="B159" s="4">
        <v>136</v>
      </c>
      <c r="C159" s="66"/>
      <c r="D159" s="67"/>
      <c r="E159" s="1"/>
      <c r="F159" s="1"/>
      <c r="G159" s="1"/>
      <c r="H159" s="5"/>
    </row>
    <row r="160" spans="2:8" x14ac:dyDescent="0.25">
      <c r="B160" s="70">
        <v>137</v>
      </c>
      <c r="C160" s="66"/>
      <c r="D160" s="67"/>
      <c r="E160" s="1"/>
      <c r="F160" s="1"/>
      <c r="G160" s="1"/>
      <c r="H160" s="5"/>
    </row>
    <row r="161" spans="2:10" x14ac:dyDescent="0.25">
      <c r="B161" s="70">
        <v>138</v>
      </c>
      <c r="C161" s="66"/>
      <c r="D161" s="67"/>
      <c r="E161" s="1"/>
      <c r="F161" s="1"/>
      <c r="G161" s="1"/>
      <c r="H161" s="5"/>
    </row>
    <row r="162" spans="2:10" x14ac:dyDescent="0.25">
      <c r="B162" s="70">
        <v>139</v>
      </c>
      <c r="C162" s="66"/>
      <c r="D162" s="67"/>
      <c r="E162" s="1"/>
      <c r="F162" s="1"/>
      <c r="G162" s="1"/>
      <c r="H162" s="5"/>
    </row>
    <row r="163" spans="2:10" x14ac:dyDescent="0.25">
      <c r="B163" s="4">
        <v>140</v>
      </c>
      <c r="C163" s="66"/>
      <c r="D163" s="67"/>
      <c r="E163" s="1"/>
      <c r="F163" s="1"/>
      <c r="G163" s="1"/>
      <c r="H163" s="5"/>
    </row>
    <row r="164" spans="2:10" x14ac:dyDescent="0.25">
      <c r="B164" s="70">
        <v>141</v>
      </c>
      <c r="C164" s="66"/>
      <c r="D164" s="67"/>
      <c r="E164" s="1"/>
      <c r="F164" s="1"/>
      <c r="G164" s="1"/>
      <c r="H164" s="5"/>
    </row>
    <row r="165" spans="2:10" x14ac:dyDescent="0.25">
      <c r="B165" s="70">
        <v>142</v>
      </c>
      <c r="C165" s="66"/>
      <c r="D165" s="67"/>
      <c r="E165" s="1"/>
      <c r="F165" s="1"/>
      <c r="G165" s="1"/>
      <c r="H165" s="5"/>
    </row>
    <row r="166" spans="2:10" x14ac:dyDescent="0.25">
      <c r="B166" s="70">
        <v>143</v>
      </c>
      <c r="C166" s="66"/>
      <c r="D166" s="67"/>
      <c r="E166" s="1"/>
      <c r="F166" s="1"/>
      <c r="G166" s="1"/>
      <c r="H166" s="5"/>
    </row>
    <row r="167" spans="2:10" x14ac:dyDescent="0.25">
      <c r="B167" s="70">
        <v>144</v>
      </c>
      <c r="C167" s="66"/>
      <c r="D167" s="67"/>
      <c r="E167" s="1"/>
      <c r="F167" s="1"/>
      <c r="G167" s="1"/>
      <c r="H167" s="5"/>
    </row>
    <row r="168" spans="2:10" x14ac:dyDescent="0.25">
      <c r="B168" s="4">
        <v>145</v>
      </c>
      <c r="C168" s="66"/>
      <c r="D168" s="67"/>
      <c r="E168" s="1"/>
      <c r="F168" s="1"/>
      <c r="G168" s="1"/>
      <c r="H168" s="5"/>
      <c r="I168" s="1"/>
      <c r="J168" s="1"/>
    </row>
    <row r="169" spans="2:10" x14ac:dyDescent="0.25">
      <c r="B169" s="70">
        <v>146</v>
      </c>
      <c r="C169" s="66"/>
      <c r="D169" s="67"/>
      <c r="E169" s="1"/>
      <c r="F169" s="1"/>
      <c r="G169" s="1"/>
      <c r="H169" s="5"/>
    </row>
    <row r="170" spans="2:10" x14ac:dyDescent="0.25">
      <c r="B170" s="70">
        <v>147</v>
      </c>
      <c r="C170" s="66"/>
      <c r="D170" s="67"/>
      <c r="E170" s="1"/>
      <c r="F170" s="1"/>
      <c r="G170" s="1"/>
      <c r="H170" s="5"/>
    </row>
    <row r="171" spans="2:10" x14ac:dyDescent="0.25">
      <c r="B171" s="70">
        <v>148</v>
      </c>
      <c r="C171" s="66"/>
      <c r="D171" s="67"/>
      <c r="E171" s="1"/>
      <c r="F171" s="1"/>
      <c r="G171" s="1"/>
      <c r="H171" s="5"/>
    </row>
    <row r="172" spans="2:10" x14ac:dyDescent="0.25">
      <c r="B172" s="70">
        <v>149</v>
      </c>
      <c r="C172" s="66"/>
      <c r="D172" s="67"/>
      <c r="E172" s="1"/>
      <c r="F172" s="1"/>
      <c r="G172" s="1"/>
      <c r="H172" s="5"/>
    </row>
    <row r="173" spans="2:10" ht="15.75" thickBot="1" x14ac:dyDescent="0.3">
      <c r="B173" s="8">
        <v>150</v>
      </c>
      <c r="C173" s="133"/>
      <c r="D173" s="134"/>
      <c r="E173" s="9"/>
      <c r="F173" s="9"/>
      <c r="G173" s="9"/>
      <c r="H173" s="10"/>
    </row>
  </sheetData>
  <mergeCells count="6">
    <mergeCell ref="J42:O42"/>
    <mergeCell ref="B1:C1"/>
    <mergeCell ref="B15:H15"/>
    <mergeCell ref="J15:P15"/>
    <mergeCell ref="B22:H22"/>
    <mergeCell ref="J35:O35"/>
  </mergeCells>
  <conditionalFormatting sqref="K39:O40">
    <cfRule type="cellIs" dxfId="112" priority="3" operator="greaterThan">
      <formula>0</formula>
    </cfRule>
    <cfRule type="cellIs" dxfId="111" priority="4" operator="lessThan">
      <formula>0</formula>
    </cfRule>
  </conditionalFormatting>
  <conditionalFormatting sqref="K46:O47">
    <cfRule type="cellIs" dxfId="110" priority="1" operator="greaterThan">
      <formula>0</formula>
    </cfRule>
    <cfRule type="cellIs" dxfId="109" priority="2" operator="lessThan">
      <formula>0</formula>
    </cfRule>
  </conditionalFormatting>
  <dataValidations count="1">
    <dataValidation type="list" allowBlank="1" showInputMessage="1" showErrorMessage="1" sqref="C3" xr:uid="{BE403F16-E232-4F8B-8D15-B9AD607E88CB}">
      <formula1>"enero,febrero,marzo,abril,mayo,junio,julio,agosto,septiembre,octubre,noviembre,diciembre"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A5E9E5-2EDC-46C1-8E81-D574087712A5}">
          <x14:formula1>
            <xm:f>'Datos - Gastos'!$C$2:$C$12</xm:f>
          </x14:formula1>
          <xm:sqref>E17:E19 E24:E98 E101:E106 E108:E109 E117:E124</xm:sqref>
        </x14:dataValidation>
        <x14:dataValidation type="list" allowBlank="1" showInputMessage="1" showErrorMessage="1" xr:uid="{CABAEA5E-A6C4-4C14-9FAA-54604A74909D}">
          <x14:formula1>
            <xm:f>'Datos - Gastos'!$A$2:$A$29</xm:f>
          </x14:formula1>
          <xm:sqref>F17:F19 F24:F85 F89:F94 F96:F1048576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69A8-E9C5-4B8D-AFCD-C9BEE2A1AB8C}">
  <sheetPr>
    <tabColor theme="5" tint="0.39997558519241921"/>
  </sheetPr>
  <dimension ref="B1:Y173"/>
  <sheetViews>
    <sheetView showGridLines="0" topLeftCell="A40" zoomScaleNormal="100" workbookViewId="0">
      <selection activeCell="H69" sqref="H69"/>
    </sheetView>
  </sheetViews>
  <sheetFormatPr baseColWidth="10" defaultRowHeight="15" x14ac:dyDescent="0.25"/>
  <cols>
    <col min="1" max="1" width="2.42578125" customWidth="1"/>
    <col min="2" max="2" width="16.28515625" bestFit="1" customWidth="1"/>
    <col min="3" max="3" width="14.5703125" bestFit="1" customWidth="1"/>
    <col min="4" max="4" width="15.5703125" bestFit="1" customWidth="1"/>
    <col min="5" max="5" width="30.5703125" bestFit="1" customWidth="1"/>
    <col min="6" max="6" width="29.28515625" bestFit="1" customWidth="1"/>
    <col min="7" max="7" width="46" bestFit="1" customWidth="1"/>
    <col min="8" max="8" width="11" style="1" customWidth="1"/>
    <col min="9" max="9" width="6.140625" customWidth="1"/>
    <col min="10" max="10" width="29.28515625" bestFit="1" customWidth="1"/>
    <col min="11" max="11" width="18.42578125" style="1" bestFit="1" customWidth="1"/>
    <col min="12" max="12" width="19" style="1" bestFit="1" customWidth="1"/>
    <col min="13" max="13" width="19.85546875" style="1" bestFit="1" customWidth="1"/>
    <col min="14" max="14" width="29.28515625" style="1" bestFit="1" customWidth="1"/>
    <col min="15" max="15" width="20.85546875" customWidth="1"/>
    <col min="16" max="16" width="18.5703125" customWidth="1"/>
    <col min="17" max="17" width="5" customWidth="1"/>
    <col min="18" max="18" width="27.140625" bestFit="1" customWidth="1"/>
    <col min="19" max="19" width="18.42578125" bestFit="1" customWidth="1"/>
    <col min="20" max="20" width="19" bestFit="1" customWidth="1"/>
    <col min="21" max="21" width="19.85546875" bestFit="1" customWidth="1"/>
    <col min="22" max="22" width="20.42578125" bestFit="1" customWidth="1"/>
    <col min="23" max="23" width="29.7109375" customWidth="1"/>
  </cols>
  <sheetData>
    <row r="1" spans="2:25" ht="15.75" thickBot="1" x14ac:dyDescent="0.3">
      <c r="B1" s="248" t="s">
        <v>155</v>
      </c>
      <c r="C1" s="249"/>
      <c r="J1" s="116" t="s">
        <v>119</v>
      </c>
      <c r="K1" s="117" t="s">
        <v>111</v>
      </c>
      <c r="L1" s="118" t="s">
        <v>112</v>
      </c>
      <c r="M1"/>
      <c r="N1" s="116" t="s">
        <v>120</v>
      </c>
      <c r="O1" s="117" t="s">
        <v>111</v>
      </c>
      <c r="P1" s="118" t="s">
        <v>112</v>
      </c>
      <c r="Q1" s="1"/>
      <c r="R1" s="116" t="s">
        <v>198</v>
      </c>
      <c r="S1" s="117" t="s">
        <v>111</v>
      </c>
      <c r="T1" s="118" t="s">
        <v>112</v>
      </c>
      <c r="Y1" s="126"/>
    </row>
    <row r="2" spans="2:25" x14ac:dyDescent="0.25">
      <c r="B2" s="114" t="s">
        <v>124</v>
      </c>
      <c r="C2" s="74">
        <v>2026</v>
      </c>
      <c r="J2" s="120" t="s">
        <v>110</v>
      </c>
      <c r="K2" s="79">
        <f>'Gastos agosto'!O2</f>
        <v>10000</v>
      </c>
      <c r="L2" s="121">
        <f>K2*D7</f>
        <v>15350000</v>
      </c>
      <c r="M2"/>
      <c r="N2" s="120" t="s">
        <v>110</v>
      </c>
      <c r="O2" s="79">
        <f>K2+SUMIF($E$24:$E$173,$N2,$C$24:$C$173)+SUMIF($E$24:$E$173,$N2,$D$24:$D$173)</f>
        <v>10000</v>
      </c>
      <c r="P2" s="121">
        <f>O2*$D$7</f>
        <v>15350000</v>
      </c>
      <c r="Q2" s="1"/>
      <c r="R2" s="120" t="s">
        <v>110</v>
      </c>
      <c r="S2" s="79">
        <f>IFERROR(IF(O2&gt;K2,O2-K2,K2-O2),0)</f>
        <v>0</v>
      </c>
      <c r="T2" s="121">
        <f>IFERROR(IF(P2&gt;L2,P2-L2,L2-P2),0)</f>
        <v>0</v>
      </c>
    </row>
    <row r="3" spans="2:25" x14ac:dyDescent="0.25">
      <c r="B3" s="114" t="s">
        <v>125</v>
      </c>
      <c r="C3" s="75" t="s">
        <v>17</v>
      </c>
      <c r="J3" s="120" t="s">
        <v>109</v>
      </c>
      <c r="K3" s="79">
        <f>'Gastos agosto'!O3</f>
        <v>500</v>
      </c>
      <c r="L3" s="121">
        <f>K3*D7</f>
        <v>767500</v>
      </c>
      <c r="M3"/>
      <c r="N3" s="120" t="s">
        <v>109</v>
      </c>
      <c r="O3" s="79">
        <f>K3</f>
        <v>500</v>
      </c>
      <c r="P3" s="121">
        <f>L3+SUMIF($E$24:$E$173,$N3,$C$24:$C$173)+SUMIF($E$24:$E$173,$N3,$D$24:$D$173)</f>
        <v>767500</v>
      </c>
      <c r="Q3" s="1"/>
      <c r="R3" s="120" t="s">
        <v>109</v>
      </c>
      <c r="S3" s="79">
        <f t="shared" ref="S3:T10" si="0">IFERROR(IF(O3&gt;K3,O3-K3,K3-O3),0)</f>
        <v>0</v>
      </c>
      <c r="T3" s="121">
        <f t="shared" si="0"/>
        <v>0</v>
      </c>
    </row>
    <row r="4" spans="2:25" x14ac:dyDescent="0.25">
      <c r="B4" s="115" t="s">
        <v>126</v>
      </c>
      <c r="C4" s="76">
        <f>DAY(EOMONTH(DATE($C$2,MATCH($C$3,{"enero";"febrero";"marzo";"abril";"mayo";"junio";"julio";"agosto";"septiembre";"octubre";"noviembre";"diciembre"},0),1),0))</f>
        <v>30</v>
      </c>
      <c r="J4" s="120" t="s">
        <v>108</v>
      </c>
      <c r="K4" s="79">
        <f>'Gastos agosto'!O4</f>
        <v>1113.0152837837838</v>
      </c>
      <c r="L4" s="121">
        <f>'Gastos agosto'!P4</f>
        <v>1647262.62</v>
      </c>
      <c r="M4"/>
      <c r="N4" s="120" t="s">
        <v>108</v>
      </c>
      <c r="O4" s="125" t="str">
        <f>IFERROR(P4/$C$8,"")</f>
        <v/>
      </c>
      <c r="P4" s="121">
        <f>L4+SUMIF($E$24:$E$173,$N4,$C$24:$C$173)+SUMIF($E$24:$E$173,$N4,$D$24:$D$173)</f>
        <v>1647262.62</v>
      </c>
      <c r="Q4" s="1"/>
      <c r="R4" s="120" t="s">
        <v>108</v>
      </c>
      <c r="S4" s="79">
        <f t="shared" si="0"/>
        <v>0</v>
      </c>
      <c r="T4" s="121">
        <f t="shared" si="0"/>
        <v>0</v>
      </c>
    </row>
    <row r="5" spans="2:25" x14ac:dyDescent="0.25">
      <c r="J5" s="120" t="s">
        <v>115</v>
      </c>
      <c r="K5" s="79">
        <f>'Gastos agosto'!O5</f>
        <v>1950.2491689189187</v>
      </c>
      <c r="L5" s="121">
        <f>'Gastos agosto'!P5</f>
        <v>2886368.7699999996</v>
      </c>
      <c r="M5"/>
      <c r="N5" s="120" t="s">
        <v>115</v>
      </c>
      <c r="O5" s="125" t="str">
        <f>IFERROR(P5/$C$8,"")</f>
        <v/>
      </c>
      <c r="P5" s="121">
        <f>L5+SUMIF($E$24:$E$173,$N5,$C$24:$C$173)+SUMIF($E$24:$E$173,$N5,$D$24:$D$173)</f>
        <v>3896368.7699999996</v>
      </c>
      <c r="Q5" s="1"/>
      <c r="R5" s="120" t="s">
        <v>115</v>
      </c>
      <c r="S5" s="79">
        <f t="shared" si="0"/>
        <v>0</v>
      </c>
      <c r="T5" s="121">
        <f t="shared" si="0"/>
        <v>1010000</v>
      </c>
    </row>
    <row r="6" spans="2:25" ht="15.75" thickBot="1" x14ac:dyDescent="0.3">
      <c r="B6" s="116" t="s">
        <v>441</v>
      </c>
      <c r="C6" s="117" t="s">
        <v>127</v>
      </c>
      <c r="D6" s="118" t="s">
        <v>128</v>
      </c>
      <c r="E6" s="112"/>
      <c r="J6" s="120" t="s">
        <v>130</v>
      </c>
      <c r="K6" s="79">
        <f>'Gastos agosto'!O6</f>
        <v>1446.3709324324316</v>
      </c>
      <c r="L6" s="121">
        <f>'Gastos agosto'!P6</f>
        <v>2140628.9799999986</v>
      </c>
      <c r="M6"/>
      <c r="N6" s="120" t="s">
        <v>130</v>
      </c>
      <c r="O6" s="125" t="str">
        <f>IFERROR(P6/$C$8,"")</f>
        <v/>
      </c>
      <c r="P6" s="121">
        <f>L6+SUMIF($E$24:$E$173,$N6,$C$24:$C$173)+SUMIF($E$24:$E$173,$N6,$D$24:$D$173)</f>
        <v>5648.429999998305</v>
      </c>
      <c r="Q6" s="1"/>
      <c r="R6" s="120" t="s">
        <v>130</v>
      </c>
      <c r="S6" s="79">
        <f t="shared" si="0"/>
        <v>0</v>
      </c>
      <c r="T6" s="121">
        <f t="shared" si="0"/>
        <v>2134980.5500000003</v>
      </c>
    </row>
    <row r="7" spans="2:25" x14ac:dyDescent="0.25">
      <c r="B7" s="127">
        <f>DATE($C$2,MATCH($C$3,{"enero";"febrero";"marzo";"abril";"mayo";"junio";"julio";"agosto";"septiembre";"octubre";"noviembre";"diciembre"},0),1)</f>
        <v>46266</v>
      </c>
      <c r="C7" s="128">
        <v>1485</v>
      </c>
      <c r="D7" s="129">
        <v>1535</v>
      </c>
      <c r="E7" s="14"/>
      <c r="J7" s="120" t="s">
        <v>131</v>
      </c>
      <c r="K7" s="79">
        <f>'Gastos agosto'!O7</f>
        <v>9.9100000000000037</v>
      </c>
      <c r="L7" s="121">
        <f>K7*D7</f>
        <v>15211.850000000006</v>
      </c>
      <c r="M7"/>
      <c r="N7" s="120" t="s">
        <v>131</v>
      </c>
      <c r="O7" s="63">
        <f>K7+SUM(C17:C19)+SUM(D17:D19)</f>
        <v>1.8800000000000026</v>
      </c>
      <c r="P7" s="121">
        <f>O7*$D$8</f>
        <v>0</v>
      </c>
      <c r="Q7" s="1"/>
      <c r="R7" s="120" t="s">
        <v>131</v>
      </c>
      <c r="S7" s="79">
        <f t="shared" si="0"/>
        <v>8.0300000000000011</v>
      </c>
      <c r="T7" s="121">
        <f t="shared" si="0"/>
        <v>15211.850000000006</v>
      </c>
    </row>
    <row r="8" spans="2:25" x14ac:dyDescent="0.25">
      <c r="B8" s="119">
        <f>DATE($C$2,MATCH($C$3,{"enero";"febrero";"marzo";"abril";"mayo";"junio";"julio";"agosto";"septiembre";"octubre";"noviembre";"diciembre"},0),C4)</f>
        <v>46295</v>
      </c>
      <c r="C8" s="130"/>
      <c r="D8" s="76"/>
      <c r="J8" s="120" t="s">
        <v>114</v>
      </c>
      <c r="K8" s="79">
        <f>'Gastos agosto'!O8</f>
        <v>0.38181756756756757</v>
      </c>
      <c r="L8" s="121">
        <f>'Gastos agosto'!P8</f>
        <v>565.09</v>
      </c>
      <c r="M8"/>
      <c r="N8" s="120" t="s">
        <v>116</v>
      </c>
      <c r="O8" s="125" t="str">
        <f>IFERROR(P8/$C$8,"")</f>
        <v/>
      </c>
      <c r="P8" s="121">
        <f>L8+SUMIF($E$24:$E$173,$N8,$C$24:$C$173)+SUMIF($E$24:$E$173,$N8,$D$24:$D$173)</f>
        <v>565.09</v>
      </c>
      <c r="Q8" s="1"/>
      <c r="R8" s="120" t="s">
        <v>116</v>
      </c>
      <c r="S8" s="79">
        <f t="shared" si="0"/>
        <v>0</v>
      </c>
      <c r="T8" s="121">
        <f t="shared" si="0"/>
        <v>0</v>
      </c>
    </row>
    <row r="9" spans="2:25" x14ac:dyDescent="0.25">
      <c r="J9" s="120" t="s">
        <v>117</v>
      </c>
      <c r="K9" s="79">
        <f>'Gastos agosto'!O9</f>
        <v>9.1891891891891894E-4</v>
      </c>
      <c r="L9" s="121">
        <f>'Gastos agosto'!P9</f>
        <v>1.36</v>
      </c>
      <c r="M9"/>
      <c r="N9" s="120" t="s">
        <v>117</v>
      </c>
      <c r="O9" s="125" t="str">
        <f>IFERROR(P9/$C$8,"")</f>
        <v/>
      </c>
      <c r="P9" s="121">
        <f>L9+SUMIF($E$24:$E$173,$N9,$C$24:$C$173)+SUMIF($E$24:$E$173,$N9,$D$24:$D$173)</f>
        <v>1.36</v>
      </c>
      <c r="Q9" s="1"/>
      <c r="R9" s="120" t="s">
        <v>117</v>
      </c>
      <c r="S9" s="79">
        <f t="shared" si="0"/>
        <v>0</v>
      </c>
      <c r="T9" s="121">
        <f t="shared" si="0"/>
        <v>0</v>
      </c>
    </row>
    <row r="10" spans="2:25" x14ac:dyDescent="0.25">
      <c r="J10" s="120" t="s">
        <v>118</v>
      </c>
      <c r="K10" s="79">
        <f>'Gastos agosto'!O10</f>
        <v>0</v>
      </c>
      <c r="L10" s="121">
        <f>'Gastos agosto'!P10</f>
        <v>0</v>
      </c>
      <c r="M10"/>
      <c r="N10" s="120" t="s">
        <v>118</v>
      </c>
      <c r="O10" s="125" t="str">
        <f>IFERROR(P10/$C$8,"")</f>
        <v/>
      </c>
      <c r="P10" s="121">
        <f>L10+SUMIF($E$24:$E$173,$N10,$C$24:$C$173)+SUMIF($E$24:$E$173,$N10,$D$24:$D$173)</f>
        <v>32600</v>
      </c>
      <c r="Q10" s="1"/>
      <c r="R10" s="120" t="s">
        <v>118</v>
      </c>
      <c r="S10" s="79">
        <f t="shared" si="0"/>
        <v>0</v>
      </c>
      <c r="T10" s="121">
        <f t="shared" si="0"/>
        <v>32600</v>
      </c>
    </row>
    <row r="11" spans="2:25" ht="15.75" thickBot="1" x14ac:dyDescent="0.3">
      <c r="J11" s="120"/>
      <c r="K11"/>
      <c r="L11" s="74"/>
      <c r="M11"/>
      <c r="N11" s="120"/>
      <c r="P11" s="74"/>
      <c r="Q11" s="1"/>
      <c r="R11" s="120"/>
      <c r="T11" s="74"/>
    </row>
    <row r="12" spans="2:25" x14ac:dyDescent="0.25">
      <c r="J12" s="122" t="s">
        <v>82</v>
      </c>
      <c r="K12" s="123">
        <f>SUM(K2:K10)</f>
        <v>15019.92812162162</v>
      </c>
      <c r="L12" s="124">
        <f>SUM(L2:L10)</f>
        <v>22807538.669999998</v>
      </c>
      <c r="M12"/>
      <c r="N12" s="122" t="s">
        <v>82</v>
      </c>
      <c r="O12" s="123">
        <f>SUM(O2:O9)</f>
        <v>10501.88</v>
      </c>
      <c r="P12" s="124">
        <f>SUM(P2:P9)</f>
        <v>21667346.27</v>
      </c>
      <c r="Q12" s="1"/>
      <c r="R12" s="122" t="s">
        <v>82</v>
      </c>
      <c r="S12" s="123">
        <f>SUM(S2:S9)</f>
        <v>8.0300000000000011</v>
      </c>
      <c r="T12" s="124">
        <f>SUM(T2:T9)</f>
        <v>3160192.4000000004</v>
      </c>
    </row>
    <row r="13" spans="2:25" x14ac:dyDescent="0.25">
      <c r="F13" s="14"/>
    </row>
    <row r="14" spans="2:25" ht="15.75" thickBot="1" x14ac:dyDescent="0.3">
      <c r="F14" s="14"/>
    </row>
    <row r="15" spans="2:25" x14ac:dyDescent="0.25">
      <c r="B15" s="245" t="s">
        <v>180</v>
      </c>
      <c r="C15" s="246"/>
      <c r="D15" s="246"/>
      <c r="E15" s="246"/>
      <c r="F15" s="246"/>
      <c r="G15" s="246"/>
      <c r="H15" s="247"/>
      <c r="J15" s="245" t="s">
        <v>171</v>
      </c>
      <c r="K15" s="246"/>
      <c r="L15" s="246"/>
      <c r="M15" s="246"/>
      <c r="N15" s="246"/>
      <c r="O15" s="246"/>
      <c r="P15" s="247"/>
    </row>
    <row r="16" spans="2:25" x14ac:dyDescent="0.25">
      <c r="B16" s="71" t="s">
        <v>132</v>
      </c>
      <c r="C16" s="72" t="s">
        <v>69</v>
      </c>
      <c r="D16" s="72" t="s">
        <v>122</v>
      </c>
      <c r="E16" s="72" t="s">
        <v>143</v>
      </c>
      <c r="F16" s="72" t="s">
        <v>123</v>
      </c>
      <c r="G16" s="72" t="s">
        <v>129</v>
      </c>
      <c r="H16" s="73" t="s">
        <v>121</v>
      </c>
      <c r="J16" s="82" t="s">
        <v>123</v>
      </c>
      <c r="K16" s="78" t="s">
        <v>170</v>
      </c>
      <c r="L16" s="78" t="s">
        <v>163</v>
      </c>
      <c r="M16" s="78" t="s">
        <v>172</v>
      </c>
      <c r="N16" s="78" t="s">
        <v>173</v>
      </c>
      <c r="P16" s="6"/>
      <c r="Q16" s="112"/>
    </row>
    <row r="17" spans="2:18" x14ac:dyDescent="0.25">
      <c r="B17" s="4">
        <v>1</v>
      </c>
      <c r="C17" s="66">
        <v>50</v>
      </c>
      <c r="D17" s="67"/>
      <c r="E17" s="1" t="s">
        <v>131</v>
      </c>
      <c r="F17" s="68" t="s">
        <v>175</v>
      </c>
      <c r="G17" s="1" t="s">
        <v>281</v>
      </c>
      <c r="H17" s="69">
        <v>46268</v>
      </c>
      <c r="J17" s="83" t="s">
        <v>136</v>
      </c>
      <c r="K17" s="63">
        <f>SUMIF($F$24:$F$173,$J17,$D$24:$D$173)</f>
        <v>0</v>
      </c>
      <c r="L17" s="79">
        <f t="shared" ref="L17:L33" si="1">SUMIF($F$24:$F$173,$J17,$C$24:$C$173)</f>
        <v>0</v>
      </c>
      <c r="M17" s="80">
        <f t="shared" ref="M17:M33" si="2">IFERROR(K17/SUM(K$17:K$32),"")</f>
        <v>0</v>
      </c>
      <c r="N17" s="81">
        <f t="shared" ref="N17:N33" si="3">IFERROR(L17/SUM(L$17:L$32),"")</f>
        <v>0</v>
      </c>
      <c r="P17" s="6"/>
      <c r="Q17" s="78"/>
    </row>
    <row r="18" spans="2:18" x14ac:dyDescent="0.25">
      <c r="B18" s="70">
        <v>2</v>
      </c>
      <c r="C18" s="66"/>
      <c r="D18" s="67">
        <v>-48.04</v>
      </c>
      <c r="E18" s="1" t="s">
        <v>131</v>
      </c>
      <c r="F18" s="68" t="s">
        <v>175</v>
      </c>
      <c r="G18" s="68" t="s">
        <v>279</v>
      </c>
      <c r="H18" s="69">
        <v>46268</v>
      </c>
      <c r="J18" s="83" t="s">
        <v>151</v>
      </c>
      <c r="K18" s="63">
        <f t="shared" ref="K18:K33" si="4">SUMIF($F$24:$F$173,$J18,$C$24:$C$173)+SUMIF($F$24:$F$173,$J18,$D$24:$D$173)</f>
        <v>-39300</v>
      </c>
      <c r="L18" s="79">
        <f t="shared" si="1"/>
        <v>0</v>
      </c>
      <c r="M18" s="80">
        <f t="shared" si="2"/>
        <v>0.33558674567272417</v>
      </c>
      <c r="N18" s="81">
        <f t="shared" si="3"/>
        <v>0</v>
      </c>
      <c r="P18" s="6"/>
      <c r="Q18" s="113"/>
    </row>
    <row r="19" spans="2:18" ht="15.75" thickBot="1" x14ac:dyDescent="0.3">
      <c r="B19" s="144">
        <v>3</v>
      </c>
      <c r="C19" s="133"/>
      <c r="D19" s="134">
        <v>-9.99</v>
      </c>
      <c r="E19" s="9" t="s">
        <v>131</v>
      </c>
      <c r="F19" s="145" t="s">
        <v>175</v>
      </c>
      <c r="G19" s="145" t="s">
        <v>280</v>
      </c>
      <c r="H19" s="146">
        <v>46268</v>
      </c>
      <c r="J19" s="83" t="s">
        <v>152</v>
      </c>
      <c r="K19" s="63">
        <f t="shared" si="4"/>
        <v>-55400</v>
      </c>
      <c r="L19" s="79">
        <f t="shared" si="1"/>
        <v>0</v>
      </c>
      <c r="M19" s="80">
        <f t="shared" si="2"/>
        <v>0.47306630306027786</v>
      </c>
      <c r="N19" s="81">
        <f t="shared" si="3"/>
        <v>0</v>
      </c>
      <c r="P19" s="6"/>
      <c r="Q19" s="113"/>
    </row>
    <row r="20" spans="2:18" x14ac:dyDescent="0.25">
      <c r="J20" s="83" t="s">
        <v>153</v>
      </c>
      <c r="K20" s="63">
        <f t="shared" si="4"/>
        <v>-71900</v>
      </c>
      <c r="L20" s="79">
        <f t="shared" si="1"/>
        <v>0</v>
      </c>
      <c r="M20" s="80">
        <f t="shared" si="2"/>
        <v>0.61396150162516205</v>
      </c>
      <c r="N20" s="81">
        <f t="shared" si="3"/>
        <v>0</v>
      </c>
      <c r="P20" s="6"/>
      <c r="Q20" s="113"/>
    </row>
    <row r="21" spans="2:18" ht="15.75" thickBot="1" x14ac:dyDescent="0.3">
      <c r="J21" s="83" t="s">
        <v>154</v>
      </c>
      <c r="K21" s="63">
        <f t="shared" si="4"/>
        <v>0</v>
      </c>
      <c r="L21" s="79">
        <f t="shared" si="1"/>
        <v>0</v>
      </c>
      <c r="M21" s="80">
        <f t="shared" si="2"/>
        <v>0</v>
      </c>
      <c r="N21" s="81">
        <f t="shared" si="3"/>
        <v>0</v>
      </c>
      <c r="P21" s="6"/>
      <c r="R21" s="63"/>
    </row>
    <row r="22" spans="2:18" x14ac:dyDescent="0.25">
      <c r="B22" s="245" t="s">
        <v>179</v>
      </c>
      <c r="C22" s="246"/>
      <c r="D22" s="246"/>
      <c r="E22" s="246"/>
      <c r="F22" s="246"/>
      <c r="G22" s="246"/>
      <c r="H22" s="247"/>
      <c r="J22" s="83" t="s">
        <v>137</v>
      </c>
      <c r="K22" s="63">
        <f t="shared" si="4"/>
        <v>-56000</v>
      </c>
      <c r="L22" s="79">
        <f t="shared" si="1"/>
        <v>220000</v>
      </c>
      <c r="M22" s="80">
        <f t="shared" si="2"/>
        <v>0.47818976482627362</v>
      </c>
      <c r="N22" s="81">
        <f t="shared" si="3"/>
        <v>0.43912175648702595</v>
      </c>
      <c r="P22" s="6"/>
    </row>
    <row r="23" spans="2:18" x14ac:dyDescent="0.25">
      <c r="B23" s="71" t="s">
        <v>132</v>
      </c>
      <c r="C23" s="72" t="s">
        <v>69</v>
      </c>
      <c r="D23" s="72" t="s">
        <v>122</v>
      </c>
      <c r="E23" s="72" t="s">
        <v>143</v>
      </c>
      <c r="F23" s="72" t="s">
        <v>123</v>
      </c>
      <c r="G23" s="72" t="s">
        <v>129</v>
      </c>
      <c r="H23" s="73" t="s">
        <v>121</v>
      </c>
      <c r="J23" s="83" t="s">
        <v>138</v>
      </c>
      <c r="K23" s="63">
        <f t="shared" si="4"/>
        <v>-21560.32</v>
      </c>
      <c r="L23" s="79">
        <f t="shared" si="1"/>
        <v>0</v>
      </c>
      <c r="M23" s="80">
        <f t="shared" si="2"/>
        <v>0.1841057919710572</v>
      </c>
      <c r="N23" s="81">
        <f t="shared" si="3"/>
        <v>0</v>
      </c>
      <c r="P23" s="6"/>
    </row>
    <row r="24" spans="2:18" x14ac:dyDescent="0.25">
      <c r="B24" s="4">
        <v>1</v>
      </c>
      <c r="D24" s="67">
        <v>-50000</v>
      </c>
      <c r="E24" s="1" t="s">
        <v>130</v>
      </c>
      <c r="F24" s="68" t="s">
        <v>137</v>
      </c>
      <c r="G24" s="1" t="s">
        <v>244</v>
      </c>
      <c r="H24" s="69">
        <v>46266</v>
      </c>
      <c r="J24" s="83" t="s">
        <v>139</v>
      </c>
      <c r="K24" s="63">
        <f t="shared" si="4"/>
        <v>0</v>
      </c>
      <c r="L24" s="79">
        <f t="shared" si="1"/>
        <v>0</v>
      </c>
      <c r="M24" s="80">
        <f t="shared" si="2"/>
        <v>0</v>
      </c>
      <c r="N24" s="81">
        <f t="shared" si="3"/>
        <v>0</v>
      </c>
      <c r="P24" s="6"/>
    </row>
    <row r="25" spans="2:18" x14ac:dyDescent="0.25">
      <c r="B25" s="70">
        <v>2</v>
      </c>
      <c r="C25" s="66"/>
      <c r="D25" s="67">
        <v>-6686.32</v>
      </c>
      <c r="E25" s="1" t="s">
        <v>130</v>
      </c>
      <c r="F25" s="68" t="s">
        <v>138</v>
      </c>
      <c r="G25" s="68" t="s">
        <v>262</v>
      </c>
      <c r="H25" s="69">
        <v>46266</v>
      </c>
      <c r="J25" s="83" t="s">
        <v>140</v>
      </c>
      <c r="K25" s="63">
        <f t="shared" si="4"/>
        <v>-34048</v>
      </c>
      <c r="L25" s="79">
        <f t="shared" si="1"/>
        <v>20000</v>
      </c>
      <c r="M25" s="80">
        <f t="shared" si="2"/>
        <v>0.29073937701437436</v>
      </c>
      <c r="N25" s="81">
        <f t="shared" si="3"/>
        <v>3.9920159680638723E-2</v>
      </c>
      <c r="P25" s="6"/>
    </row>
    <row r="26" spans="2:18" x14ac:dyDescent="0.25">
      <c r="B26" s="70">
        <v>3</v>
      </c>
      <c r="C26" s="66"/>
      <c r="D26" s="67">
        <v>-20000</v>
      </c>
      <c r="E26" s="1" t="s">
        <v>130</v>
      </c>
      <c r="F26" s="68" t="s">
        <v>149</v>
      </c>
      <c r="G26" s="68" t="s">
        <v>430</v>
      </c>
      <c r="H26" s="69">
        <v>46266</v>
      </c>
      <c r="J26" s="83" t="s">
        <v>141</v>
      </c>
      <c r="K26" s="63">
        <f t="shared" si="4"/>
        <v>0</v>
      </c>
      <c r="L26" s="79">
        <f t="shared" si="1"/>
        <v>0</v>
      </c>
      <c r="M26" s="80">
        <f t="shared" si="2"/>
        <v>0</v>
      </c>
      <c r="N26" s="81">
        <f t="shared" si="3"/>
        <v>0</v>
      </c>
      <c r="P26" s="6"/>
      <c r="R26" s="63"/>
    </row>
    <row r="27" spans="2:18" x14ac:dyDescent="0.25">
      <c r="B27" s="70">
        <v>4</v>
      </c>
      <c r="C27" s="66">
        <v>2000000</v>
      </c>
      <c r="D27" s="67"/>
      <c r="E27" s="1" t="s">
        <v>115</v>
      </c>
      <c r="F27" s="68" t="s">
        <v>166</v>
      </c>
      <c r="G27" s="68" t="s">
        <v>431</v>
      </c>
      <c r="H27" s="69">
        <v>46266</v>
      </c>
      <c r="J27" s="83" t="s">
        <v>149</v>
      </c>
      <c r="K27" s="63">
        <f t="shared" si="4"/>
        <v>-39900</v>
      </c>
      <c r="L27" s="79">
        <f t="shared" si="1"/>
        <v>60000</v>
      </c>
      <c r="M27" s="80">
        <f t="shared" si="2"/>
        <v>0.34071020743871994</v>
      </c>
      <c r="N27" s="81">
        <f t="shared" si="3"/>
        <v>0.11976047904191617</v>
      </c>
      <c r="P27" s="6"/>
    </row>
    <row r="28" spans="2:18" x14ac:dyDescent="0.25">
      <c r="B28" s="70">
        <v>5</v>
      </c>
      <c r="C28" s="66"/>
      <c r="D28" s="67">
        <v>-2000000</v>
      </c>
      <c r="E28" s="1" t="s">
        <v>130</v>
      </c>
      <c r="F28" s="68" t="s">
        <v>166</v>
      </c>
      <c r="G28" s="68" t="s">
        <v>431</v>
      </c>
      <c r="H28" s="69">
        <v>46266</v>
      </c>
      <c r="J28" s="83" t="s">
        <v>150</v>
      </c>
      <c r="K28" s="63">
        <f t="shared" si="4"/>
        <v>0</v>
      </c>
      <c r="L28" s="79">
        <f t="shared" si="1"/>
        <v>0</v>
      </c>
      <c r="M28" s="80">
        <f t="shared" si="2"/>
        <v>0</v>
      </c>
      <c r="N28" s="81">
        <f t="shared" si="3"/>
        <v>0</v>
      </c>
      <c r="P28" s="6"/>
    </row>
    <row r="29" spans="2:18" x14ac:dyDescent="0.25">
      <c r="B29" s="4">
        <v>6</v>
      </c>
      <c r="C29" s="66"/>
      <c r="D29" s="67">
        <v>-22500</v>
      </c>
      <c r="E29" s="1" t="s">
        <v>130</v>
      </c>
      <c r="F29" s="68" t="s">
        <v>296</v>
      </c>
      <c r="G29" s="68" t="s">
        <v>432</v>
      </c>
      <c r="H29" s="69">
        <v>46266</v>
      </c>
      <c r="J29" s="83" t="s">
        <v>158</v>
      </c>
      <c r="K29" s="63">
        <f t="shared" si="4"/>
        <v>0</v>
      </c>
      <c r="L29" s="79">
        <f t="shared" si="1"/>
        <v>0</v>
      </c>
      <c r="M29" s="80">
        <f t="shared" si="2"/>
        <v>0</v>
      </c>
      <c r="N29" s="81">
        <f t="shared" si="3"/>
        <v>0</v>
      </c>
      <c r="P29" s="6"/>
    </row>
    <row r="30" spans="2:18" x14ac:dyDescent="0.25">
      <c r="B30" s="70">
        <v>7</v>
      </c>
      <c r="C30" s="66"/>
      <c r="D30" s="67">
        <v>-10000</v>
      </c>
      <c r="E30" s="1" t="s">
        <v>130</v>
      </c>
      <c r="F30" s="68" t="s">
        <v>296</v>
      </c>
      <c r="G30" s="68" t="s">
        <v>433</v>
      </c>
      <c r="H30" s="69">
        <v>46266</v>
      </c>
      <c r="J30" s="83" t="s">
        <v>157</v>
      </c>
      <c r="K30" s="63">
        <f t="shared" si="4"/>
        <v>201000</v>
      </c>
      <c r="L30" s="79">
        <f t="shared" si="1"/>
        <v>201000</v>
      </c>
      <c r="M30" s="80">
        <f t="shared" si="2"/>
        <v>-1.7163596916085893</v>
      </c>
      <c r="N30" s="81">
        <f t="shared" si="3"/>
        <v>0.40119760479041916</v>
      </c>
      <c r="P30" s="6"/>
    </row>
    <row r="31" spans="2:18" x14ac:dyDescent="0.25">
      <c r="B31" s="70">
        <v>8</v>
      </c>
      <c r="C31" s="66"/>
      <c r="D31" s="67">
        <v>-4900</v>
      </c>
      <c r="E31" s="1" t="s">
        <v>130</v>
      </c>
      <c r="F31" s="68" t="s">
        <v>140</v>
      </c>
      <c r="G31" s="68" t="s">
        <v>434</v>
      </c>
      <c r="H31" s="69">
        <v>46267</v>
      </c>
      <c r="J31" s="83" t="s">
        <v>159</v>
      </c>
      <c r="K31" s="63">
        <f t="shared" si="4"/>
        <v>0</v>
      </c>
      <c r="L31" s="79">
        <f t="shared" si="1"/>
        <v>0</v>
      </c>
      <c r="M31" s="80">
        <f t="shared" si="2"/>
        <v>0</v>
      </c>
      <c r="N31" s="81">
        <f t="shared" si="3"/>
        <v>0</v>
      </c>
      <c r="P31" s="6"/>
    </row>
    <row r="32" spans="2:18" x14ac:dyDescent="0.25">
      <c r="B32" s="70">
        <v>9</v>
      </c>
      <c r="C32" s="66"/>
      <c r="D32" s="67">
        <v>-14874</v>
      </c>
      <c r="E32" s="1" t="s">
        <v>130</v>
      </c>
      <c r="F32" s="68" t="s">
        <v>138</v>
      </c>
      <c r="G32" s="68" t="s">
        <v>435</v>
      </c>
      <c r="H32" s="69">
        <v>46268</v>
      </c>
      <c r="J32" s="83" t="s">
        <v>167</v>
      </c>
      <c r="K32" s="63">
        <f t="shared" si="4"/>
        <v>0</v>
      </c>
      <c r="L32" s="79">
        <f t="shared" si="1"/>
        <v>0</v>
      </c>
      <c r="M32" s="80">
        <f t="shared" si="2"/>
        <v>0</v>
      </c>
      <c r="N32" s="81">
        <f t="shared" si="3"/>
        <v>0</v>
      </c>
      <c r="P32" s="6"/>
    </row>
    <row r="33" spans="2:16" ht="15.75" thickBot="1" x14ac:dyDescent="0.3">
      <c r="B33" s="70">
        <v>10</v>
      </c>
      <c r="C33" s="66">
        <v>30000</v>
      </c>
      <c r="D33" s="67"/>
      <c r="E33" s="1" t="s">
        <v>118</v>
      </c>
      <c r="F33" s="68" t="s">
        <v>419</v>
      </c>
      <c r="G33" s="68" t="s">
        <v>436</v>
      </c>
      <c r="H33" s="69">
        <v>46268</v>
      </c>
      <c r="J33" s="84" t="s">
        <v>175</v>
      </c>
      <c r="K33" s="85">
        <f t="shared" si="4"/>
        <v>-336416.98</v>
      </c>
      <c r="L33" s="86">
        <f t="shared" si="1"/>
        <v>50</v>
      </c>
      <c r="M33" s="87">
        <f t="shared" si="2"/>
        <v>2.8726992241029499</v>
      </c>
      <c r="N33" s="88">
        <f t="shared" si="3"/>
        <v>9.9800399201596801E-5</v>
      </c>
      <c r="O33" s="7"/>
      <c r="P33" s="19"/>
    </row>
    <row r="34" spans="2:16" x14ac:dyDescent="0.25">
      <c r="B34" s="4">
        <v>11</v>
      </c>
      <c r="C34" s="66"/>
      <c r="D34" s="67">
        <v>-500000</v>
      </c>
      <c r="E34" s="1" t="s">
        <v>115</v>
      </c>
      <c r="F34" s="68" t="s">
        <v>165</v>
      </c>
      <c r="G34" s="68" t="s">
        <v>437</v>
      </c>
      <c r="H34" s="69">
        <v>46268</v>
      </c>
    </row>
    <row r="35" spans="2:16" x14ac:dyDescent="0.25">
      <c r="B35" s="70">
        <v>12</v>
      </c>
      <c r="C35" s="66">
        <v>500000</v>
      </c>
      <c r="D35" s="67"/>
      <c r="E35" s="1" t="s">
        <v>130</v>
      </c>
      <c r="F35" s="68" t="s">
        <v>165</v>
      </c>
      <c r="G35" s="68" t="s">
        <v>437</v>
      </c>
      <c r="H35" s="69">
        <v>46268</v>
      </c>
      <c r="J35" s="250" t="s">
        <v>115</v>
      </c>
      <c r="K35" s="251"/>
      <c r="L35" s="251"/>
      <c r="M35" s="251"/>
      <c r="N35" s="252"/>
    </row>
    <row r="36" spans="2:16" x14ac:dyDescent="0.25">
      <c r="B36" s="70">
        <v>13</v>
      </c>
      <c r="C36" s="66"/>
      <c r="D36" s="67">
        <v>-46000</v>
      </c>
      <c r="E36" s="1" t="s">
        <v>130</v>
      </c>
      <c r="F36" s="68" t="s">
        <v>427</v>
      </c>
      <c r="G36" s="68" t="s">
        <v>438</v>
      </c>
      <c r="H36" s="69">
        <v>46268</v>
      </c>
      <c r="J36" s="83" t="s">
        <v>115</v>
      </c>
      <c r="K36" s="89">
        <v>46272</v>
      </c>
      <c r="L36" s="89">
        <v>46279</v>
      </c>
      <c r="M36" s="89">
        <v>46286</v>
      </c>
      <c r="N36" s="90">
        <v>46293</v>
      </c>
    </row>
    <row r="37" spans="2:16" x14ac:dyDescent="0.25">
      <c r="B37" s="70">
        <v>14</v>
      </c>
      <c r="C37" s="66"/>
      <c r="D37" s="67">
        <v>-255875.44</v>
      </c>
      <c r="E37" s="68" t="s">
        <v>130</v>
      </c>
      <c r="F37" s="68" t="s">
        <v>175</v>
      </c>
      <c r="G37" s="68" t="s">
        <v>439</v>
      </c>
      <c r="H37" s="69">
        <v>46268</v>
      </c>
      <c r="J37" s="83" t="s">
        <v>183</v>
      </c>
      <c r="K37" s="63">
        <f>$L$5+SUMIFS($C$24:$C$173,$E$24:$E$173,$N5,$H$24:$H$173,"&lt;="&amp;K$36)+SUMIFS($D$24:$D$173,$E$24:$E$173,$N5,$H$24:$H$173,"&lt;="&amp;K$36)</f>
        <v>4386368.7699999996</v>
      </c>
      <c r="L37" s="79">
        <f>$L$5+SUMIFS($C$24:$C$173,$E$24:$E$173,$N5,$H$24:$H$173,"&lt;"&amp;L$36)+SUMIFS($D$24:$D$173,$E$24:$E$173,$N5,$H$24:$H$173,"&lt;="&amp;L$36)</f>
        <v>3986368.7699999996</v>
      </c>
      <c r="M37" s="79">
        <f>$L$5+SUMIFS($C$24:$C$173,$E$24:$E$173,$N5,$H$24:$H$173,"&lt;"&amp;M$36)+SUMIFS($D$24:$D$173,$E$24:$E$173,$N5,$H$24:$H$173,"&lt;="&amp;M$36)</f>
        <v>3896368.7699999996</v>
      </c>
      <c r="N37" s="131">
        <f>$L$5+SUMIFS($C$24:$C$173,$E$24:$E$173,$N5,$H$24:$H$173,"&lt;"&amp;N$36)+SUMIFS($D$24:$D$173,$E$24:$E$173,$N5,$H$24:$H$173,"&lt;="&amp;N$36)</f>
        <v>3896368.7699999996</v>
      </c>
    </row>
    <row r="38" spans="2:16" x14ac:dyDescent="0.25">
      <c r="B38" s="70">
        <v>15</v>
      </c>
      <c r="C38" s="66"/>
      <c r="D38" s="67">
        <v>-76500</v>
      </c>
      <c r="E38" s="68" t="s">
        <v>130</v>
      </c>
      <c r="F38" s="68" t="s">
        <v>175</v>
      </c>
      <c r="G38" s="68" t="s">
        <v>277</v>
      </c>
      <c r="H38" s="69">
        <v>46268</v>
      </c>
      <c r="J38" s="83" t="s">
        <v>184</v>
      </c>
      <c r="K38" s="79">
        <v>4462218.8499999996</v>
      </c>
      <c r="L38" s="79">
        <v>4078252.34</v>
      </c>
      <c r="M38" s="79"/>
      <c r="N38" s="131"/>
    </row>
    <row r="39" spans="2:16" x14ac:dyDescent="0.25">
      <c r="B39" s="4">
        <v>16</v>
      </c>
      <c r="C39" s="66">
        <v>50</v>
      </c>
      <c r="D39" s="67"/>
      <c r="E39" s="1" t="s">
        <v>131</v>
      </c>
      <c r="F39" s="68" t="s">
        <v>175</v>
      </c>
      <c r="G39" s="1" t="s">
        <v>281</v>
      </c>
      <c r="H39" s="69">
        <v>46268</v>
      </c>
      <c r="J39" s="83" t="s">
        <v>185</v>
      </c>
      <c r="K39" s="63">
        <f>IF(K38="","",K38-K37)</f>
        <v>75850.080000000075</v>
      </c>
      <c r="L39" s="63">
        <f t="shared" ref="L39:N39" si="5">IF(L38="","",L38-L37)</f>
        <v>91883.570000000298</v>
      </c>
      <c r="M39" s="63" t="str">
        <f t="shared" si="5"/>
        <v/>
      </c>
      <c r="N39" s="91" t="str">
        <f t="shared" si="5"/>
        <v/>
      </c>
    </row>
    <row r="40" spans="2:16" ht="15.75" thickBot="1" x14ac:dyDescent="0.3">
      <c r="B40" s="70">
        <v>17</v>
      </c>
      <c r="C40" s="66"/>
      <c r="D40" s="67">
        <v>-48.04</v>
      </c>
      <c r="E40" s="1" t="s">
        <v>131</v>
      </c>
      <c r="F40" s="68" t="s">
        <v>175</v>
      </c>
      <c r="G40" s="68" t="s">
        <v>279</v>
      </c>
      <c r="H40" s="69">
        <v>46268</v>
      </c>
      <c r="J40" s="84" t="s">
        <v>186</v>
      </c>
      <c r="K40" s="92">
        <f>IF(K39="","",((K38-K37)/K37))</f>
        <v>1.7292225979440412E-2</v>
      </c>
      <c r="L40" s="92">
        <f t="shared" ref="L40:N40" si="6">IF(L39="","",((L38-L37)/L37))</f>
        <v>2.3049440556398976E-2</v>
      </c>
      <c r="M40" s="92" t="str">
        <f t="shared" si="6"/>
        <v/>
      </c>
      <c r="N40" s="93" t="str">
        <f t="shared" si="6"/>
        <v/>
      </c>
    </row>
    <row r="41" spans="2:16" x14ac:dyDescent="0.25">
      <c r="B41" s="70">
        <v>18</v>
      </c>
      <c r="C41" s="66"/>
      <c r="D41" s="67">
        <v>-9.99</v>
      </c>
      <c r="E41" s="1" t="s">
        <v>131</v>
      </c>
      <c r="F41" s="68" t="s">
        <v>175</v>
      </c>
      <c r="G41" s="68" t="s">
        <v>280</v>
      </c>
      <c r="H41" s="69">
        <v>46268</v>
      </c>
      <c r="K41"/>
      <c r="L41"/>
      <c r="M41"/>
      <c r="N41"/>
    </row>
    <row r="42" spans="2:16" x14ac:dyDescent="0.25">
      <c r="B42" s="70">
        <v>19</v>
      </c>
      <c r="C42" s="66"/>
      <c r="D42" s="67">
        <v>-4033.51</v>
      </c>
      <c r="E42" s="68" t="s">
        <v>130</v>
      </c>
      <c r="F42" s="68" t="s">
        <v>175</v>
      </c>
      <c r="G42" s="68" t="s">
        <v>278</v>
      </c>
      <c r="H42" s="69">
        <v>46268</v>
      </c>
      <c r="J42" s="250" t="s">
        <v>195</v>
      </c>
      <c r="K42" s="251"/>
      <c r="L42" s="251"/>
      <c r="M42" s="251"/>
      <c r="N42" s="252"/>
    </row>
    <row r="43" spans="2:16" x14ac:dyDescent="0.25">
      <c r="B43" s="70">
        <v>20</v>
      </c>
      <c r="C43" s="66"/>
      <c r="D43" s="67">
        <v>-116670</v>
      </c>
      <c r="E43" s="68" t="s">
        <v>130</v>
      </c>
      <c r="F43" s="68" t="s">
        <v>427</v>
      </c>
      <c r="G43" s="68" t="s">
        <v>440</v>
      </c>
      <c r="H43" s="69">
        <v>46268</v>
      </c>
      <c r="J43" s="83" t="s">
        <v>121</v>
      </c>
      <c r="K43" s="89">
        <f>K36</f>
        <v>46272</v>
      </c>
      <c r="L43" s="89">
        <f t="shared" ref="L43:N43" si="7">L36</f>
        <v>46279</v>
      </c>
      <c r="M43" s="89">
        <f t="shared" si="7"/>
        <v>46286</v>
      </c>
      <c r="N43" s="90">
        <f t="shared" si="7"/>
        <v>46293</v>
      </c>
    </row>
    <row r="44" spans="2:16" x14ac:dyDescent="0.25">
      <c r="B44" s="4">
        <v>21</v>
      </c>
      <c r="C44" s="66">
        <v>23000</v>
      </c>
      <c r="D44" s="67"/>
      <c r="E44" s="68" t="s">
        <v>130</v>
      </c>
      <c r="F44" s="68" t="s">
        <v>427</v>
      </c>
      <c r="G44" s="68" t="s">
        <v>446</v>
      </c>
      <c r="H44" s="69">
        <v>46269</v>
      </c>
      <c r="J44" s="83" t="s">
        <v>196</v>
      </c>
      <c r="K44" s="63">
        <f>$L$4+SUMIFS($D$24:$D$173,$G$24:$G$173,"Transferencia a Petrini",$H$24:$H$173,"&lt;"&amp;K$36)*-1+SUMIFS($D$24:$D$173,$G$24:$G$173,"Transferencia de Petrini",$H$24:$H$173,"&lt;"&amp;K$36)</f>
        <v>1647262.62</v>
      </c>
      <c r="L44" s="63">
        <f>$L$4+SUMIFS($D$24:$D$173,$G$24:$G$173,"Transferencia a Petrini",$H$24:$H$173,"&lt;"&amp;L$36)*-1+SUMIFS($D$24:$D$173,$G$24:$G$173,"Transferencia de Petrini",$H$24:$H$173,"&lt;"&amp;L$36)</f>
        <v>1647262.62</v>
      </c>
      <c r="M44" s="63">
        <f>$L$4+SUMIFS($D$24:$D$173,$G$24:$G$173,"Transferencia a Petrini",$H$24:$H$173,"&lt;"&amp;M$36)*-1+SUMIFS($D$24:$D$173,$G$24:$G$173,"Transferencia de Petrini",$H$24:$H$173,"&lt;"&amp;M$36)</f>
        <v>1647262.62</v>
      </c>
      <c r="N44" s="131">
        <f>$L$4+SUMIFS($D$24:$D$173,$G$24:$G$173,"Transferencia a Petrini",$H$24:$H$173,"&lt;"&amp;N$36)*-1+SUMIFS($D$24:$D$173,$G$24:$G$173,"Transferencia de Petrini",$H$24:$H$173,"&lt;"&amp;N$36)</f>
        <v>1647262.62</v>
      </c>
    </row>
    <row r="45" spans="2:16" x14ac:dyDescent="0.25">
      <c r="B45" s="70">
        <v>22</v>
      </c>
      <c r="C45" s="66">
        <v>100000</v>
      </c>
      <c r="D45" s="67"/>
      <c r="E45" s="68" t="s">
        <v>130</v>
      </c>
      <c r="F45" s="68" t="s">
        <v>157</v>
      </c>
      <c r="G45" s="68" t="s">
        <v>447</v>
      </c>
      <c r="H45" s="69">
        <v>46269</v>
      </c>
      <c r="J45" s="83" t="s">
        <v>197</v>
      </c>
      <c r="K45" s="79">
        <v>1702871.01</v>
      </c>
      <c r="L45" s="79">
        <v>1694064.42</v>
      </c>
      <c r="M45" s="63"/>
      <c r="N45" s="131"/>
    </row>
    <row r="46" spans="2:16" x14ac:dyDescent="0.25">
      <c r="B46" s="70">
        <v>23</v>
      </c>
      <c r="C46" s="66"/>
      <c r="D46" s="67">
        <v>-11400</v>
      </c>
      <c r="E46" s="68" t="s">
        <v>130</v>
      </c>
      <c r="F46" s="68" t="s">
        <v>152</v>
      </c>
      <c r="G46" s="68" t="s">
        <v>448</v>
      </c>
      <c r="H46" s="69">
        <v>46269</v>
      </c>
      <c r="J46" s="83" t="s">
        <v>185</v>
      </c>
      <c r="K46" s="63">
        <f>IF(K45="","",K45-K44)</f>
        <v>55608.389999999898</v>
      </c>
      <c r="L46" s="63">
        <f t="shared" ref="L46:N46" si="8">IF(L45="","",L45-L44)</f>
        <v>46801.799999999814</v>
      </c>
      <c r="M46" s="63" t="str">
        <f t="shared" si="8"/>
        <v/>
      </c>
      <c r="N46" s="91" t="str">
        <f t="shared" si="8"/>
        <v/>
      </c>
    </row>
    <row r="47" spans="2:16" ht="15.75" thickBot="1" x14ac:dyDescent="0.3">
      <c r="B47" s="70">
        <v>24</v>
      </c>
      <c r="C47" s="66"/>
      <c r="D47" s="67">
        <v>-15000</v>
      </c>
      <c r="E47" s="68" t="s">
        <v>130</v>
      </c>
      <c r="F47" s="68" t="s">
        <v>153</v>
      </c>
      <c r="G47" s="1" t="s">
        <v>449</v>
      </c>
      <c r="H47" s="69">
        <v>46269</v>
      </c>
      <c r="J47" s="84" t="s">
        <v>186</v>
      </c>
      <c r="K47" s="92">
        <f>IF(K46="","",((K45-K44)/K44))</f>
        <v>3.3758059780413088E-2</v>
      </c>
      <c r="L47" s="92">
        <f t="shared" ref="L47:N47" si="9">IF(L46="","",((L45-L44)/L44))</f>
        <v>2.8411863070139848E-2</v>
      </c>
      <c r="M47" s="92" t="str">
        <f t="shared" si="9"/>
        <v/>
      </c>
      <c r="N47" s="93" t="str">
        <f t="shared" si="9"/>
        <v/>
      </c>
    </row>
    <row r="48" spans="2:16" x14ac:dyDescent="0.25">
      <c r="B48" s="70">
        <v>25</v>
      </c>
      <c r="C48" s="66"/>
      <c r="D48" s="67">
        <v>-8790</v>
      </c>
      <c r="E48" s="68" t="s">
        <v>130</v>
      </c>
      <c r="F48" s="68" t="s">
        <v>296</v>
      </c>
      <c r="G48" s="68" t="s">
        <v>450</v>
      </c>
      <c r="H48" s="69">
        <v>46270</v>
      </c>
    </row>
    <row r="49" spans="2:11" x14ac:dyDescent="0.25">
      <c r="B49" s="4">
        <v>26</v>
      </c>
      <c r="C49" s="66"/>
      <c r="D49" s="67">
        <v>-19450</v>
      </c>
      <c r="E49" s="68" t="s">
        <v>130</v>
      </c>
      <c r="F49" s="68" t="s">
        <v>296</v>
      </c>
      <c r="G49" s="68" t="s">
        <v>451</v>
      </c>
      <c r="H49" s="69">
        <v>46270</v>
      </c>
    </row>
    <row r="50" spans="2:11" x14ac:dyDescent="0.25">
      <c r="B50" s="70">
        <v>27</v>
      </c>
      <c r="C50" s="66">
        <v>10000</v>
      </c>
      <c r="D50" s="67"/>
      <c r="E50" s="68" t="s">
        <v>130</v>
      </c>
      <c r="F50" s="68" t="s">
        <v>296</v>
      </c>
      <c r="G50" s="68" t="s">
        <v>452</v>
      </c>
      <c r="H50" s="69">
        <v>46270</v>
      </c>
      <c r="K50" s="137"/>
    </row>
    <row r="51" spans="2:11" x14ac:dyDescent="0.25">
      <c r="B51" s="70">
        <v>28</v>
      </c>
      <c r="C51" s="66">
        <v>30000</v>
      </c>
      <c r="D51" s="67"/>
      <c r="E51" s="68" t="s">
        <v>130</v>
      </c>
      <c r="F51" s="68" t="s">
        <v>427</v>
      </c>
      <c r="G51" s="68" t="s">
        <v>453</v>
      </c>
      <c r="H51" s="69">
        <v>46271</v>
      </c>
    </row>
    <row r="52" spans="2:11" x14ac:dyDescent="0.25">
      <c r="B52" s="70">
        <v>29</v>
      </c>
      <c r="C52" s="66"/>
      <c r="D52" s="67">
        <v>-90000</v>
      </c>
      <c r="E52" s="68" t="s">
        <v>130</v>
      </c>
      <c r="F52" s="68" t="s">
        <v>427</v>
      </c>
      <c r="G52" s="68" t="s">
        <v>454</v>
      </c>
      <c r="H52" s="69">
        <v>46271</v>
      </c>
    </row>
    <row r="53" spans="2:11" x14ac:dyDescent="0.25">
      <c r="B53" s="70">
        <v>30</v>
      </c>
      <c r="C53" s="66">
        <v>30000</v>
      </c>
      <c r="D53" s="67"/>
      <c r="E53" s="68" t="s">
        <v>130</v>
      </c>
      <c r="F53" s="68" t="s">
        <v>427</v>
      </c>
      <c r="G53" s="68" t="s">
        <v>455</v>
      </c>
      <c r="H53" s="69">
        <v>46271</v>
      </c>
    </row>
    <row r="54" spans="2:11" x14ac:dyDescent="0.25">
      <c r="B54" s="4">
        <v>31</v>
      </c>
      <c r="C54" s="66"/>
      <c r="D54" s="67">
        <v>-7500</v>
      </c>
      <c r="E54" s="68" t="s">
        <v>130</v>
      </c>
      <c r="F54" s="68" t="s">
        <v>153</v>
      </c>
      <c r="G54" s="68" t="s">
        <v>456</v>
      </c>
      <c r="H54" s="69">
        <v>46271</v>
      </c>
    </row>
    <row r="55" spans="2:11" x14ac:dyDescent="0.25">
      <c r="B55" s="70">
        <v>32</v>
      </c>
      <c r="C55" s="66"/>
      <c r="D55" s="67">
        <v>-3000</v>
      </c>
      <c r="E55" s="1" t="s">
        <v>118</v>
      </c>
      <c r="F55" s="68" t="s">
        <v>296</v>
      </c>
      <c r="G55" s="1" t="s">
        <v>458</v>
      </c>
      <c r="H55" s="69">
        <v>46271</v>
      </c>
    </row>
    <row r="56" spans="2:11" x14ac:dyDescent="0.25">
      <c r="B56" s="70">
        <v>33</v>
      </c>
      <c r="C56" s="66"/>
      <c r="D56" s="67">
        <v>-14400</v>
      </c>
      <c r="E56" s="1" t="s">
        <v>118</v>
      </c>
      <c r="F56" s="68" t="s">
        <v>153</v>
      </c>
      <c r="G56" s="68" t="s">
        <v>459</v>
      </c>
      <c r="H56" s="69">
        <v>46271</v>
      </c>
    </row>
    <row r="57" spans="2:11" x14ac:dyDescent="0.25">
      <c r="B57" s="70">
        <v>34</v>
      </c>
      <c r="C57" s="66"/>
      <c r="D57" s="67">
        <v>-11000</v>
      </c>
      <c r="E57" s="68" t="s">
        <v>130</v>
      </c>
      <c r="F57" s="68" t="s">
        <v>153</v>
      </c>
      <c r="G57" s="68" t="s">
        <v>457</v>
      </c>
      <c r="H57" s="69">
        <v>46272</v>
      </c>
    </row>
    <row r="58" spans="2:11" x14ac:dyDescent="0.25">
      <c r="B58" s="70">
        <v>35</v>
      </c>
      <c r="D58" s="141">
        <f>-36958-800</f>
        <v>-37758</v>
      </c>
      <c r="E58" s="68" t="s">
        <v>130</v>
      </c>
      <c r="F58" s="68" t="s">
        <v>296</v>
      </c>
      <c r="G58" s="244" t="s">
        <v>461</v>
      </c>
      <c r="H58" s="69">
        <v>46273</v>
      </c>
    </row>
    <row r="59" spans="2:11" x14ac:dyDescent="0.25">
      <c r="B59" s="4">
        <v>36</v>
      </c>
      <c r="C59" s="66"/>
      <c r="D59" s="67">
        <v>-45000</v>
      </c>
      <c r="E59" s="68" t="s">
        <v>130</v>
      </c>
      <c r="F59" s="1" t="s">
        <v>202</v>
      </c>
      <c r="G59" s="1" t="s">
        <v>462</v>
      </c>
      <c r="H59" s="69">
        <v>46274</v>
      </c>
    </row>
    <row r="60" spans="2:11" x14ac:dyDescent="0.25">
      <c r="B60" s="70">
        <v>37</v>
      </c>
      <c r="C60" s="66"/>
      <c r="D60" s="67">
        <v>-34300</v>
      </c>
      <c r="E60" s="1" t="s">
        <v>130</v>
      </c>
      <c r="F60" s="1" t="s">
        <v>151</v>
      </c>
      <c r="G60" s="1" t="s">
        <v>463</v>
      </c>
      <c r="H60" s="69">
        <v>46274</v>
      </c>
    </row>
    <row r="61" spans="2:11" x14ac:dyDescent="0.25">
      <c r="B61" s="70">
        <v>38</v>
      </c>
      <c r="C61" s="66"/>
      <c r="D61" s="67">
        <v>-6000</v>
      </c>
      <c r="E61" s="1" t="s">
        <v>130</v>
      </c>
      <c r="F61" s="1" t="s">
        <v>137</v>
      </c>
      <c r="G61" s="1" t="s">
        <v>464</v>
      </c>
      <c r="H61" s="69">
        <v>46274</v>
      </c>
    </row>
    <row r="62" spans="2:11" x14ac:dyDescent="0.25">
      <c r="B62" s="70">
        <v>39</v>
      </c>
      <c r="C62" s="66"/>
      <c r="D62" s="67">
        <v>-200000</v>
      </c>
      <c r="E62" s="1" t="s">
        <v>115</v>
      </c>
      <c r="F62" s="68" t="s">
        <v>165</v>
      </c>
      <c r="G62" s="1" t="s">
        <v>312</v>
      </c>
      <c r="H62" s="69">
        <v>46274</v>
      </c>
    </row>
    <row r="63" spans="2:11" x14ac:dyDescent="0.25">
      <c r="B63" s="70">
        <v>40</v>
      </c>
      <c r="C63" s="66">
        <v>200000</v>
      </c>
      <c r="D63" s="67"/>
      <c r="E63" s="1" t="s">
        <v>130</v>
      </c>
      <c r="F63" s="68" t="s">
        <v>165</v>
      </c>
      <c r="G63" s="1" t="s">
        <v>312</v>
      </c>
      <c r="H63" s="69">
        <v>46274</v>
      </c>
    </row>
    <row r="64" spans="2:11" x14ac:dyDescent="0.25">
      <c r="B64" s="4">
        <v>41</v>
      </c>
      <c r="C64" s="66"/>
      <c r="D64" s="67">
        <v>-40429</v>
      </c>
      <c r="E64" s="1" t="s">
        <v>130</v>
      </c>
      <c r="F64" s="68" t="s">
        <v>296</v>
      </c>
      <c r="G64" s="1" t="s">
        <v>465</v>
      </c>
      <c r="H64" s="69">
        <v>46274</v>
      </c>
    </row>
    <row r="65" spans="2:8" x14ac:dyDescent="0.25">
      <c r="B65" s="70">
        <v>42</v>
      </c>
      <c r="C65" s="66"/>
      <c r="D65" s="67">
        <v>-8449</v>
      </c>
      <c r="E65" s="1" t="s">
        <v>130</v>
      </c>
      <c r="F65" s="1" t="s">
        <v>140</v>
      </c>
      <c r="G65" s="1" t="s">
        <v>466</v>
      </c>
      <c r="H65" s="135">
        <v>46275</v>
      </c>
    </row>
    <row r="66" spans="2:8" x14ac:dyDescent="0.25">
      <c r="B66" s="70">
        <v>43</v>
      </c>
      <c r="C66" s="66"/>
      <c r="D66" s="67">
        <v>-200000</v>
      </c>
      <c r="E66" s="1" t="s">
        <v>115</v>
      </c>
      <c r="F66" s="68" t="s">
        <v>165</v>
      </c>
      <c r="G66" s="1" t="s">
        <v>467</v>
      </c>
      <c r="H66" s="135">
        <v>46275</v>
      </c>
    </row>
    <row r="67" spans="2:8" x14ac:dyDescent="0.25">
      <c r="B67" s="70">
        <v>44</v>
      </c>
      <c r="C67" s="66">
        <v>200000</v>
      </c>
      <c r="D67" s="67"/>
      <c r="E67" s="1" t="s">
        <v>130</v>
      </c>
      <c r="F67" s="68" t="s">
        <v>165</v>
      </c>
      <c r="G67" s="1" t="s">
        <v>467</v>
      </c>
      <c r="H67" s="135">
        <v>46275</v>
      </c>
    </row>
    <row r="68" spans="2:8" x14ac:dyDescent="0.25">
      <c r="B68" s="70">
        <v>45</v>
      </c>
      <c r="C68" s="66"/>
      <c r="D68" s="67">
        <v>-220000</v>
      </c>
      <c r="E68" s="1" t="s">
        <v>130</v>
      </c>
      <c r="F68" s="68" t="s">
        <v>137</v>
      </c>
      <c r="G68" s="136" t="s">
        <v>468</v>
      </c>
      <c r="H68" s="135">
        <v>46275</v>
      </c>
    </row>
    <row r="69" spans="2:8" x14ac:dyDescent="0.25">
      <c r="B69" s="70">
        <v>46</v>
      </c>
      <c r="D69" s="141">
        <v>-10500</v>
      </c>
      <c r="E69" s="1" t="s">
        <v>130</v>
      </c>
      <c r="F69" s="1" t="s">
        <v>140</v>
      </c>
      <c r="G69" s="1" t="s">
        <v>492</v>
      </c>
      <c r="H69" s="135">
        <v>46275</v>
      </c>
    </row>
    <row r="70" spans="2:8" x14ac:dyDescent="0.25">
      <c r="B70" s="70">
        <v>47</v>
      </c>
      <c r="C70" s="66">
        <v>220000</v>
      </c>
      <c r="D70" s="67"/>
      <c r="E70" s="1" t="s">
        <v>130</v>
      </c>
      <c r="F70" s="68" t="s">
        <v>137</v>
      </c>
      <c r="G70" s="1" t="s">
        <v>491</v>
      </c>
      <c r="H70" s="135">
        <v>46276</v>
      </c>
    </row>
    <row r="71" spans="2:8" x14ac:dyDescent="0.25">
      <c r="B71" s="70">
        <v>48</v>
      </c>
      <c r="C71" s="66"/>
      <c r="D71" s="67">
        <v>-4000</v>
      </c>
      <c r="E71" s="1" t="s">
        <v>130</v>
      </c>
      <c r="F71" s="1" t="s">
        <v>419</v>
      </c>
      <c r="G71" s="1" t="s">
        <v>469</v>
      </c>
      <c r="H71" s="135">
        <v>46276</v>
      </c>
    </row>
    <row r="72" spans="2:8" x14ac:dyDescent="0.25">
      <c r="B72" s="70">
        <v>49</v>
      </c>
      <c r="C72" s="66"/>
      <c r="D72" s="67">
        <v>-32200</v>
      </c>
      <c r="E72" s="1" t="s">
        <v>130</v>
      </c>
      <c r="F72" s="1" t="s">
        <v>427</v>
      </c>
      <c r="G72" s="68" t="s">
        <v>470</v>
      </c>
      <c r="H72" s="135">
        <v>46276</v>
      </c>
    </row>
    <row r="73" spans="2:8" x14ac:dyDescent="0.25">
      <c r="B73" s="70">
        <v>50</v>
      </c>
      <c r="C73" s="66"/>
      <c r="D73" s="67">
        <v>-24000</v>
      </c>
      <c r="E73" s="1" t="s">
        <v>130</v>
      </c>
      <c r="F73" s="1" t="s">
        <v>153</v>
      </c>
      <c r="G73" s="68" t="s">
        <v>471</v>
      </c>
      <c r="H73" s="135">
        <v>46276</v>
      </c>
    </row>
    <row r="74" spans="2:8" x14ac:dyDescent="0.25">
      <c r="B74" s="4">
        <v>51</v>
      </c>
      <c r="C74" s="66"/>
      <c r="D74" s="67">
        <f>-11899-600</f>
        <v>-12499</v>
      </c>
      <c r="E74" s="1" t="s">
        <v>130</v>
      </c>
      <c r="F74" s="1" t="s">
        <v>140</v>
      </c>
      <c r="G74" s="1" t="s">
        <v>472</v>
      </c>
      <c r="H74" s="135">
        <v>46277</v>
      </c>
    </row>
    <row r="75" spans="2:8" x14ac:dyDescent="0.25">
      <c r="B75" s="70">
        <v>52</v>
      </c>
      <c r="C75" s="66"/>
      <c r="D75" s="67">
        <v>-29809.200000000001</v>
      </c>
      <c r="E75" s="1" t="s">
        <v>130</v>
      </c>
      <c r="F75" s="1" t="s">
        <v>296</v>
      </c>
      <c r="G75" s="1" t="s">
        <v>473</v>
      </c>
      <c r="H75" s="135">
        <v>46277</v>
      </c>
    </row>
    <row r="76" spans="2:8" x14ac:dyDescent="0.25">
      <c r="B76" s="70">
        <v>53</v>
      </c>
      <c r="C76" s="66"/>
      <c r="D76" s="67">
        <v>-8700</v>
      </c>
      <c r="E76" s="1" t="s">
        <v>130</v>
      </c>
      <c r="F76" s="1" t="s">
        <v>140</v>
      </c>
      <c r="G76" s="1" t="s">
        <v>474</v>
      </c>
      <c r="H76" s="135">
        <v>46278</v>
      </c>
    </row>
    <row r="77" spans="2:8" x14ac:dyDescent="0.25">
      <c r="B77" s="70">
        <v>54</v>
      </c>
      <c r="C77" s="66">
        <v>10000</v>
      </c>
      <c r="D77" s="67"/>
      <c r="E77" s="1" t="s">
        <v>118</v>
      </c>
      <c r="F77" s="1" t="s">
        <v>140</v>
      </c>
      <c r="G77" s="1" t="s">
        <v>474</v>
      </c>
      <c r="H77" s="135">
        <v>46278</v>
      </c>
    </row>
    <row r="78" spans="2:8" x14ac:dyDescent="0.25">
      <c r="B78" s="70">
        <v>55</v>
      </c>
      <c r="C78" s="66">
        <v>59000</v>
      </c>
      <c r="D78" s="67"/>
      <c r="E78" s="1" t="s">
        <v>130</v>
      </c>
      <c r="F78" s="1" t="s">
        <v>157</v>
      </c>
      <c r="G78" s="1" t="s">
        <v>475</v>
      </c>
      <c r="H78" s="135">
        <v>46278</v>
      </c>
    </row>
    <row r="79" spans="2:8" x14ac:dyDescent="0.25">
      <c r="B79" s="4">
        <v>56</v>
      </c>
      <c r="C79" s="66"/>
      <c r="D79" s="67">
        <v>-120000</v>
      </c>
      <c r="E79" s="1" t="s">
        <v>130</v>
      </c>
      <c r="F79" s="1" t="s">
        <v>201</v>
      </c>
      <c r="G79" s="1" t="s">
        <v>476</v>
      </c>
      <c r="H79" s="135">
        <v>46279</v>
      </c>
    </row>
    <row r="80" spans="2:8" x14ac:dyDescent="0.25">
      <c r="B80" s="70">
        <v>57</v>
      </c>
      <c r="C80" s="66"/>
      <c r="D80" s="67">
        <v>-79900</v>
      </c>
      <c r="E80" s="1" t="s">
        <v>130</v>
      </c>
      <c r="F80" s="1" t="s">
        <v>149</v>
      </c>
      <c r="G80" s="1" t="s">
        <v>477</v>
      </c>
      <c r="H80" s="135">
        <v>46280</v>
      </c>
    </row>
    <row r="81" spans="2:8" x14ac:dyDescent="0.25">
      <c r="B81" s="70">
        <v>58</v>
      </c>
      <c r="C81" s="66">
        <v>60000</v>
      </c>
      <c r="D81" s="67"/>
      <c r="E81" s="1" t="s">
        <v>130</v>
      </c>
      <c r="F81" s="1" t="s">
        <v>149</v>
      </c>
      <c r="G81" s="1" t="s">
        <v>478</v>
      </c>
      <c r="H81" s="135">
        <v>46280</v>
      </c>
    </row>
    <row r="82" spans="2:8" x14ac:dyDescent="0.25">
      <c r="B82" s="70">
        <v>59</v>
      </c>
      <c r="C82" s="66"/>
      <c r="D82" s="67">
        <v>-56379.08</v>
      </c>
      <c r="E82" s="1" t="s">
        <v>130</v>
      </c>
      <c r="F82" s="68" t="s">
        <v>221</v>
      </c>
      <c r="G82" s="1" t="s">
        <v>479</v>
      </c>
      <c r="H82" s="135">
        <v>46282</v>
      </c>
    </row>
    <row r="83" spans="2:8" x14ac:dyDescent="0.25">
      <c r="B83" s="70">
        <v>60</v>
      </c>
      <c r="C83" s="66"/>
      <c r="D83" s="67">
        <v>-11778</v>
      </c>
      <c r="E83" s="1" t="s">
        <v>130</v>
      </c>
      <c r="F83" s="68" t="s">
        <v>480</v>
      </c>
      <c r="G83" s="1" t="s">
        <v>481</v>
      </c>
      <c r="H83" s="135">
        <v>46282</v>
      </c>
    </row>
    <row r="84" spans="2:8" x14ac:dyDescent="0.25">
      <c r="B84" s="4">
        <v>61</v>
      </c>
      <c r="C84" s="66"/>
      <c r="D84" s="67">
        <v>-20000</v>
      </c>
      <c r="E84" s="1" t="s">
        <v>130</v>
      </c>
      <c r="F84" s="1" t="s">
        <v>250</v>
      </c>
      <c r="G84" s="68" t="s">
        <v>482</v>
      </c>
      <c r="H84" s="135">
        <v>46282</v>
      </c>
    </row>
    <row r="85" spans="2:8" x14ac:dyDescent="0.25">
      <c r="B85" s="70">
        <v>62</v>
      </c>
      <c r="C85" s="66"/>
      <c r="D85" s="67">
        <v>-9000</v>
      </c>
      <c r="E85" s="1" t="s">
        <v>130</v>
      </c>
      <c r="F85" s="1" t="s">
        <v>140</v>
      </c>
      <c r="G85" s="1" t="s">
        <v>483</v>
      </c>
      <c r="H85" s="135">
        <v>46282</v>
      </c>
    </row>
    <row r="86" spans="2:8" x14ac:dyDescent="0.25">
      <c r="B86" s="70">
        <v>63</v>
      </c>
      <c r="C86" s="66">
        <v>10000</v>
      </c>
      <c r="D86" s="67"/>
      <c r="E86" s="1" t="s">
        <v>118</v>
      </c>
      <c r="F86" s="1" t="s">
        <v>140</v>
      </c>
      <c r="G86" s="1" t="s">
        <v>484</v>
      </c>
      <c r="H86" s="135">
        <v>46282</v>
      </c>
    </row>
    <row r="87" spans="2:8" x14ac:dyDescent="0.25">
      <c r="B87" s="70">
        <v>64</v>
      </c>
      <c r="C87" s="66"/>
      <c r="D87" s="67">
        <v>-90000</v>
      </c>
      <c r="E87" s="1" t="s">
        <v>115</v>
      </c>
      <c r="F87" s="68" t="s">
        <v>165</v>
      </c>
      <c r="G87" s="1" t="s">
        <v>312</v>
      </c>
      <c r="H87" s="135">
        <v>46283</v>
      </c>
    </row>
    <row r="88" spans="2:8" x14ac:dyDescent="0.25">
      <c r="B88" s="70">
        <v>65</v>
      </c>
      <c r="C88" s="66">
        <v>90000</v>
      </c>
      <c r="D88" s="67"/>
      <c r="E88" s="1" t="s">
        <v>130</v>
      </c>
      <c r="F88" s="68" t="s">
        <v>165</v>
      </c>
      <c r="G88" s="1" t="s">
        <v>312</v>
      </c>
      <c r="H88" s="135">
        <v>46283</v>
      </c>
    </row>
    <row r="89" spans="2:8" x14ac:dyDescent="0.25">
      <c r="B89" s="70">
        <v>68</v>
      </c>
      <c r="C89" s="66">
        <v>42000</v>
      </c>
      <c r="D89" s="67"/>
      <c r="E89" s="1" t="s">
        <v>130</v>
      </c>
      <c r="F89" s="1" t="s">
        <v>157</v>
      </c>
      <c r="G89" s="1" t="s">
        <v>485</v>
      </c>
      <c r="H89" s="135">
        <v>46283</v>
      </c>
    </row>
    <row r="90" spans="2:8" x14ac:dyDescent="0.25">
      <c r="B90" s="70">
        <v>69</v>
      </c>
      <c r="D90" s="141">
        <v>-29000</v>
      </c>
      <c r="E90" s="1" t="s">
        <v>130</v>
      </c>
      <c r="F90" s="1" t="s">
        <v>152</v>
      </c>
      <c r="G90" s="1" t="s">
        <v>486</v>
      </c>
      <c r="H90" s="135">
        <v>46284</v>
      </c>
    </row>
    <row r="91" spans="2:8" x14ac:dyDescent="0.25">
      <c r="B91" s="4">
        <v>66</v>
      </c>
      <c r="C91" s="66"/>
      <c r="D91" s="67">
        <v>-26500</v>
      </c>
      <c r="E91" s="1" t="s">
        <v>130</v>
      </c>
      <c r="F91" s="68" t="s">
        <v>480</v>
      </c>
      <c r="G91" s="1" t="s">
        <v>487</v>
      </c>
      <c r="H91" s="135">
        <v>46284</v>
      </c>
    </row>
    <row r="92" spans="2:8" x14ac:dyDescent="0.25">
      <c r="B92" s="70">
        <v>67</v>
      </c>
      <c r="C92" s="66"/>
      <c r="D92" s="67">
        <v>-5000</v>
      </c>
      <c r="E92" s="1" t="s">
        <v>130</v>
      </c>
      <c r="F92" s="68" t="s">
        <v>151</v>
      </c>
      <c r="G92" s="1" t="s">
        <v>488</v>
      </c>
      <c r="H92" s="135">
        <v>46284</v>
      </c>
    </row>
    <row r="93" spans="2:8" x14ac:dyDescent="0.25">
      <c r="B93" s="70">
        <v>70</v>
      </c>
      <c r="C93" s="66"/>
      <c r="D93" s="67">
        <v>-21600</v>
      </c>
      <c r="E93" s="1" t="s">
        <v>130</v>
      </c>
      <c r="F93" s="1" t="s">
        <v>296</v>
      </c>
      <c r="G93" s="1" t="s">
        <v>489</v>
      </c>
      <c r="H93" s="135">
        <v>46284</v>
      </c>
    </row>
    <row r="94" spans="2:8" x14ac:dyDescent="0.25">
      <c r="B94" s="4">
        <v>71</v>
      </c>
      <c r="C94" s="66"/>
      <c r="D94" s="67">
        <v>-15000</v>
      </c>
      <c r="E94" s="1" t="s">
        <v>130</v>
      </c>
      <c r="F94" s="1" t="s">
        <v>152</v>
      </c>
      <c r="G94" s="1" t="s">
        <v>490</v>
      </c>
      <c r="H94" s="135">
        <v>46285</v>
      </c>
    </row>
    <row r="95" spans="2:8" x14ac:dyDescent="0.25">
      <c r="B95" s="70">
        <v>72</v>
      </c>
      <c r="C95" s="66"/>
      <c r="D95" s="67"/>
      <c r="E95" s="1"/>
      <c r="F95" s="1"/>
      <c r="G95" s="1"/>
      <c r="H95" s="135"/>
    </row>
    <row r="96" spans="2:8" x14ac:dyDescent="0.25">
      <c r="B96" s="70">
        <v>73</v>
      </c>
      <c r="C96" s="66"/>
      <c r="D96" s="67"/>
      <c r="E96" s="1"/>
      <c r="F96" s="1"/>
      <c r="G96" s="1"/>
      <c r="H96" s="135"/>
    </row>
    <row r="97" spans="2:8" x14ac:dyDescent="0.25">
      <c r="B97" s="70">
        <v>74</v>
      </c>
      <c r="C97" s="66"/>
      <c r="D97" s="67"/>
      <c r="E97" s="1"/>
      <c r="F97" s="1"/>
      <c r="G97" s="1"/>
      <c r="H97" s="135"/>
    </row>
    <row r="98" spans="2:8" x14ac:dyDescent="0.25">
      <c r="B98" s="70">
        <v>75</v>
      </c>
      <c r="C98" s="66"/>
      <c r="D98" s="67"/>
      <c r="E98" s="1"/>
      <c r="F98" s="1"/>
      <c r="G98" s="1"/>
      <c r="H98" s="135"/>
    </row>
    <row r="99" spans="2:8" x14ac:dyDescent="0.25">
      <c r="B99" s="4">
        <v>76</v>
      </c>
      <c r="C99" s="66"/>
      <c r="D99" s="67"/>
      <c r="E99" s="1"/>
      <c r="F99" s="1"/>
      <c r="G99" s="1"/>
      <c r="H99" s="135"/>
    </row>
    <row r="100" spans="2:8" x14ac:dyDescent="0.25">
      <c r="B100" s="70">
        <v>77</v>
      </c>
      <c r="C100" s="66"/>
      <c r="D100" s="67"/>
      <c r="E100" s="1"/>
      <c r="F100" s="1"/>
      <c r="G100" s="1"/>
      <c r="H100" s="135"/>
    </row>
    <row r="101" spans="2:8" x14ac:dyDescent="0.25">
      <c r="B101" s="70">
        <v>78</v>
      </c>
      <c r="C101" s="66"/>
      <c r="D101" s="67"/>
      <c r="E101" s="1"/>
      <c r="F101" s="68"/>
      <c r="G101" s="1"/>
      <c r="H101" s="135"/>
    </row>
    <row r="102" spans="2:8" x14ac:dyDescent="0.25">
      <c r="B102" s="70">
        <v>79</v>
      </c>
      <c r="C102" s="66"/>
      <c r="D102" s="67"/>
      <c r="E102" s="1"/>
      <c r="F102" s="68"/>
      <c r="G102" s="1"/>
      <c r="H102" s="135"/>
    </row>
    <row r="103" spans="2:8" x14ac:dyDescent="0.25">
      <c r="B103" s="70">
        <v>80</v>
      </c>
      <c r="C103" s="66"/>
      <c r="D103" s="67"/>
      <c r="E103" s="1"/>
      <c r="F103" s="1"/>
      <c r="G103" s="1"/>
      <c r="H103" s="135"/>
    </row>
    <row r="104" spans="2:8" x14ac:dyDescent="0.25">
      <c r="B104" s="4">
        <v>81</v>
      </c>
      <c r="C104" s="66"/>
      <c r="D104" s="67"/>
      <c r="E104" s="1"/>
      <c r="F104" s="1"/>
      <c r="G104" s="1"/>
      <c r="H104" s="135"/>
    </row>
    <row r="105" spans="2:8" x14ac:dyDescent="0.25">
      <c r="B105" s="70">
        <v>82</v>
      </c>
      <c r="C105" s="66"/>
      <c r="D105" s="67"/>
      <c r="E105" s="1"/>
      <c r="F105" s="1"/>
      <c r="G105" s="1"/>
      <c r="H105" s="135"/>
    </row>
    <row r="106" spans="2:8" x14ac:dyDescent="0.25">
      <c r="B106" s="70">
        <v>83</v>
      </c>
      <c r="C106" s="66"/>
      <c r="D106" s="67"/>
      <c r="E106" s="1"/>
      <c r="F106" s="1"/>
      <c r="G106" s="1"/>
      <c r="H106" s="135"/>
    </row>
    <row r="107" spans="2:8" x14ac:dyDescent="0.25">
      <c r="B107" s="70">
        <v>84</v>
      </c>
      <c r="C107" s="66"/>
      <c r="D107" s="67"/>
      <c r="E107" s="1"/>
      <c r="F107" s="1"/>
      <c r="G107" s="1"/>
      <c r="H107" s="135"/>
    </row>
    <row r="108" spans="2:8" x14ac:dyDescent="0.25">
      <c r="B108" s="70">
        <v>85</v>
      </c>
      <c r="C108" s="66"/>
      <c r="D108" s="67"/>
      <c r="E108" s="1"/>
      <c r="F108" s="68"/>
      <c r="G108" s="1"/>
      <c r="H108" s="135"/>
    </row>
    <row r="109" spans="2:8" x14ac:dyDescent="0.25">
      <c r="B109" s="4">
        <v>86</v>
      </c>
      <c r="C109" s="66"/>
      <c r="D109" s="67"/>
      <c r="E109" s="1"/>
      <c r="F109" s="68"/>
      <c r="G109" s="1"/>
      <c r="H109" s="135"/>
    </row>
    <row r="110" spans="2:8" x14ac:dyDescent="0.25">
      <c r="B110" s="70">
        <v>87</v>
      </c>
      <c r="C110" s="66"/>
      <c r="D110" s="67"/>
      <c r="E110" s="1"/>
      <c r="F110" s="1"/>
      <c r="G110" s="1"/>
      <c r="H110" s="135"/>
    </row>
    <row r="111" spans="2:8" x14ac:dyDescent="0.25">
      <c r="B111" s="70">
        <v>88</v>
      </c>
      <c r="C111" s="66"/>
      <c r="D111" s="67"/>
      <c r="E111" s="1"/>
      <c r="F111" s="1"/>
      <c r="G111" s="1"/>
      <c r="H111" s="5"/>
    </row>
    <row r="112" spans="2:8" x14ac:dyDescent="0.25">
      <c r="B112" s="70">
        <v>89</v>
      </c>
      <c r="C112" s="66"/>
      <c r="D112" s="67"/>
      <c r="E112" s="1"/>
      <c r="F112" s="1"/>
      <c r="G112" s="1"/>
      <c r="H112" s="5"/>
    </row>
    <row r="113" spans="2:8" x14ac:dyDescent="0.25">
      <c r="B113" s="70">
        <v>90</v>
      </c>
      <c r="C113" s="66"/>
      <c r="D113" s="67"/>
      <c r="E113" s="1"/>
      <c r="F113" s="1"/>
      <c r="G113" s="1"/>
      <c r="H113" s="5"/>
    </row>
    <row r="114" spans="2:8" x14ac:dyDescent="0.25">
      <c r="B114" s="4">
        <v>91</v>
      </c>
      <c r="C114" s="66"/>
      <c r="D114" s="67"/>
      <c r="E114" s="1"/>
      <c r="F114" s="1"/>
      <c r="G114" s="1"/>
      <c r="H114" s="5"/>
    </row>
    <row r="115" spans="2:8" x14ac:dyDescent="0.25">
      <c r="B115" s="70">
        <v>92</v>
      </c>
      <c r="C115" s="66"/>
      <c r="D115" s="67"/>
      <c r="E115" s="1"/>
      <c r="F115" s="1"/>
      <c r="G115" s="1"/>
      <c r="H115" s="5"/>
    </row>
    <row r="116" spans="2:8" x14ac:dyDescent="0.25">
      <c r="B116" s="70">
        <v>93</v>
      </c>
      <c r="C116" s="66"/>
      <c r="D116" s="67"/>
      <c r="E116" s="1"/>
      <c r="F116" s="1"/>
      <c r="G116" s="1"/>
      <c r="H116" s="5"/>
    </row>
    <row r="117" spans="2:8" x14ac:dyDescent="0.25">
      <c r="B117" s="70">
        <v>94</v>
      </c>
      <c r="C117" s="66"/>
      <c r="D117" s="67"/>
      <c r="E117" s="1"/>
      <c r="F117" s="1"/>
      <c r="G117" s="1"/>
      <c r="H117" s="5"/>
    </row>
    <row r="118" spans="2:8" x14ac:dyDescent="0.25">
      <c r="B118" s="70">
        <v>95</v>
      </c>
      <c r="C118" s="66"/>
      <c r="D118" s="67"/>
      <c r="E118" s="1"/>
      <c r="F118" s="1"/>
      <c r="G118" s="1"/>
      <c r="H118" s="5"/>
    </row>
    <row r="119" spans="2:8" x14ac:dyDescent="0.25">
      <c r="B119" s="4">
        <v>96</v>
      </c>
      <c r="C119" s="66"/>
      <c r="D119" s="67"/>
      <c r="E119" s="1"/>
      <c r="F119" s="1"/>
      <c r="G119" s="1"/>
      <c r="H119" s="5"/>
    </row>
    <row r="120" spans="2:8" x14ac:dyDescent="0.25">
      <c r="B120" s="70">
        <v>97</v>
      </c>
      <c r="C120" s="66"/>
      <c r="D120" s="67"/>
      <c r="E120" s="1"/>
      <c r="F120" s="1"/>
      <c r="G120" s="1"/>
      <c r="H120" s="5"/>
    </row>
    <row r="121" spans="2:8" x14ac:dyDescent="0.25">
      <c r="B121" s="70">
        <v>98</v>
      </c>
      <c r="C121" s="66"/>
      <c r="D121" s="67"/>
      <c r="E121" s="1"/>
      <c r="F121" s="1"/>
      <c r="G121" s="1"/>
      <c r="H121" s="5"/>
    </row>
    <row r="122" spans="2:8" x14ac:dyDescent="0.25">
      <c r="B122" s="70">
        <v>99</v>
      </c>
      <c r="C122" s="66"/>
      <c r="D122" s="67"/>
      <c r="E122" s="1"/>
      <c r="F122" s="1"/>
      <c r="G122" s="1"/>
      <c r="H122" s="5"/>
    </row>
    <row r="123" spans="2:8" x14ac:dyDescent="0.25">
      <c r="B123" s="70">
        <v>100</v>
      </c>
      <c r="C123" s="66"/>
      <c r="D123" s="67"/>
      <c r="E123" s="1"/>
      <c r="F123" s="1"/>
      <c r="G123" s="1"/>
      <c r="H123" s="5"/>
    </row>
    <row r="124" spans="2:8" x14ac:dyDescent="0.25">
      <c r="B124" s="4">
        <v>101</v>
      </c>
      <c r="C124" s="66"/>
      <c r="D124" s="67"/>
      <c r="E124" s="1"/>
      <c r="F124" s="1"/>
      <c r="G124" s="1"/>
      <c r="H124" s="5"/>
    </row>
    <row r="125" spans="2:8" x14ac:dyDescent="0.25">
      <c r="B125" s="70">
        <v>102</v>
      </c>
      <c r="C125" s="66"/>
      <c r="D125" s="67"/>
      <c r="E125" s="1"/>
      <c r="F125" s="1"/>
      <c r="G125" s="1"/>
      <c r="H125" s="5"/>
    </row>
    <row r="126" spans="2:8" x14ac:dyDescent="0.25">
      <c r="B126" s="70">
        <v>103</v>
      </c>
      <c r="C126" s="66"/>
      <c r="D126" s="67"/>
      <c r="E126" s="1"/>
      <c r="F126" s="1"/>
      <c r="G126" s="1"/>
      <c r="H126" s="5"/>
    </row>
    <row r="127" spans="2:8" x14ac:dyDescent="0.25">
      <c r="B127" s="70">
        <v>104</v>
      </c>
      <c r="C127" s="66"/>
      <c r="D127" s="67"/>
      <c r="E127" s="1"/>
      <c r="F127" s="1"/>
      <c r="G127" s="1"/>
      <c r="H127" s="5"/>
    </row>
    <row r="128" spans="2:8" x14ac:dyDescent="0.25">
      <c r="B128" s="70">
        <v>105</v>
      </c>
      <c r="C128" s="66"/>
      <c r="D128" s="67"/>
      <c r="E128" s="1"/>
      <c r="F128" s="1"/>
      <c r="G128" s="1"/>
      <c r="H128" s="5"/>
    </row>
    <row r="129" spans="2:8" x14ac:dyDescent="0.25">
      <c r="B129" s="4">
        <v>106</v>
      </c>
      <c r="C129" s="66"/>
      <c r="D129" s="67"/>
      <c r="E129" s="1"/>
      <c r="F129" s="1"/>
      <c r="G129" s="1"/>
      <c r="H129" s="5"/>
    </row>
    <row r="130" spans="2:8" x14ac:dyDescent="0.25">
      <c r="B130" s="70">
        <v>107</v>
      </c>
      <c r="C130" s="66"/>
      <c r="D130" s="67"/>
      <c r="E130" s="1"/>
      <c r="F130" s="1"/>
      <c r="G130" s="1"/>
      <c r="H130" s="5"/>
    </row>
    <row r="131" spans="2:8" x14ac:dyDescent="0.25">
      <c r="B131" s="70">
        <v>108</v>
      </c>
      <c r="C131" s="66"/>
      <c r="D131" s="67"/>
      <c r="E131" s="1"/>
      <c r="F131" s="1"/>
      <c r="G131" s="1"/>
      <c r="H131" s="5"/>
    </row>
    <row r="132" spans="2:8" x14ac:dyDescent="0.25">
      <c r="B132" s="70">
        <v>109</v>
      </c>
      <c r="C132" s="66"/>
      <c r="D132" s="67"/>
      <c r="E132" s="1"/>
      <c r="F132" s="1"/>
      <c r="G132" s="1"/>
      <c r="H132" s="5"/>
    </row>
    <row r="133" spans="2:8" x14ac:dyDescent="0.25">
      <c r="B133" s="70">
        <v>110</v>
      </c>
      <c r="C133" s="66"/>
      <c r="D133" s="67"/>
      <c r="E133" s="1"/>
      <c r="F133" s="1"/>
      <c r="G133" s="1"/>
      <c r="H133" s="5"/>
    </row>
    <row r="134" spans="2:8" x14ac:dyDescent="0.25">
      <c r="B134" s="4">
        <v>111</v>
      </c>
      <c r="C134" s="66"/>
      <c r="D134" s="67"/>
      <c r="E134" s="1"/>
      <c r="F134" s="1"/>
      <c r="G134" s="1"/>
      <c r="H134" s="5"/>
    </row>
    <row r="135" spans="2:8" x14ac:dyDescent="0.25">
      <c r="B135" s="70">
        <v>112</v>
      </c>
      <c r="C135" s="66"/>
      <c r="D135" s="67"/>
      <c r="E135" s="1"/>
      <c r="F135" s="1"/>
      <c r="G135" s="1"/>
      <c r="H135" s="5"/>
    </row>
    <row r="136" spans="2:8" x14ac:dyDescent="0.25">
      <c r="B136" s="70">
        <v>113</v>
      </c>
      <c r="C136" s="66"/>
      <c r="D136" s="67"/>
      <c r="E136" s="1"/>
      <c r="F136" s="1"/>
      <c r="G136" s="1"/>
      <c r="H136" s="5"/>
    </row>
    <row r="137" spans="2:8" x14ac:dyDescent="0.25">
      <c r="B137" s="70">
        <v>114</v>
      </c>
      <c r="C137" s="66"/>
      <c r="D137" s="67"/>
      <c r="E137" s="1"/>
      <c r="F137" s="1"/>
      <c r="G137" s="1"/>
      <c r="H137" s="5"/>
    </row>
    <row r="138" spans="2:8" x14ac:dyDescent="0.25">
      <c r="B138" s="70">
        <v>115</v>
      </c>
      <c r="C138" s="66"/>
      <c r="D138" s="67"/>
      <c r="E138" s="1"/>
      <c r="F138" s="1"/>
      <c r="G138" s="1"/>
      <c r="H138" s="5"/>
    </row>
    <row r="139" spans="2:8" x14ac:dyDescent="0.25">
      <c r="B139" s="4">
        <v>116</v>
      </c>
      <c r="C139" s="66"/>
      <c r="D139" s="67"/>
      <c r="E139" s="1"/>
      <c r="F139" s="1"/>
      <c r="G139" s="1"/>
      <c r="H139" s="5"/>
    </row>
    <row r="140" spans="2:8" x14ac:dyDescent="0.25">
      <c r="B140" s="70">
        <v>117</v>
      </c>
      <c r="C140" s="66"/>
      <c r="D140" s="67"/>
      <c r="E140" s="1"/>
      <c r="F140" s="1"/>
      <c r="G140" s="1"/>
      <c r="H140" s="5"/>
    </row>
    <row r="141" spans="2:8" x14ac:dyDescent="0.25">
      <c r="B141" s="70">
        <v>118</v>
      </c>
      <c r="C141" s="66"/>
      <c r="D141" s="67"/>
      <c r="E141" s="1"/>
      <c r="F141" s="1"/>
      <c r="G141" s="1"/>
      <c r="H141" s="5"/>
    </row>
    <row r="142" spans="2:8" x14ac:dyDescent="0.25">
      <c r="B142" s="70">
        <v>119</v>
      </c>
      <c r="C142" s="66"/>
      <c r="D142" s="67"/>
      <c r="E142" s="1"/>
      <c r="F142" s="1"/>
      <c r="G142" s="1"/>
      <c r="H142" s="5"/>
    </row>
    <row r="143" spans="2:8" x14ac:dyDescent="0.25">
      <c r="B143" s="70">
        <v>120</v>
      </c>
      <c r="C143" s="66"/>
      <c r="D143" s="67"/>
      <c r="E143" s="1"/>
      <c r="F143" s="1"/>
      <c r="G143" s="1"/>
      <c r="H143" s="5"/>
    </row>
    <row r="144" spans="2:8" x14ac:dyDescent="0.25">
      <c r="B144" s="4">
        <v>121</v>
      </c>
      <c r="C144" s="66"/>
      <c r="D144" s="67"/>
      <c r="E144" s="1"/>
      <c r="F144" s="1"/>
      <c r="G144" s="1"/>
      <c r="H144" s="5"/>
    </row>
    <row r="145" spans="2:8" x14ac:dyDescent="0.25">
      <c r="B145" s="70">
        <v>122</v>
      </c>
      <c r="C145" s="66"/>
      <c r="D145" s="67"/>
      <c r="E145" s="1"/>
      <c r="F145" s="1"/>
      <c r="G145" s="1"/>
      <c r="H145" s="5"/>
    </row>
    <row r="146" spans="2:8" x14ac:dyDescent="0.25">
      <c r="B146" s="70">
        <v>123</v>
      </c>
      <c r="C146" s="66"/>
      <c r="D146" s="67"/>
      <c r="E146" s="1"/>
      <c r="F146" s="1"/>
      <c r="G146" s="1"/>
      <c r="H146" s="5"/>
    </row>
    <row r="147" spans="2:8" x14ac:dyDescent="0.25">
      <c r="B147" s="70">
        <v>124</v>
      </c>
      <c r="C147" s="66"/>
      <c r="D147" s="67"/>
      <c r="E147" s="1"/>
      <c r="F147" s="1"/>
      <c r="G147" s="1"/>
      <c r="H147" s="5"/>
    </row>
    <row r="148" spans="2:8" x14ac:dyDescent="0.25">
      <c r="B148" s="70">
        <v>125</v>
      </c>
      <c r="C148" s="66"/>
      <c r="D148" s="67"/>
      <c r="E148" s="1"/>
      <c r="F148" s="1"/>
      <c r="G148" s="1"/>
      <c r="H148" s="5"/>
    </row>
    <row r="149" spans="2:8" x14ac:dyDescent="0.25">
      <c r="B149" s="4">
        <v>126</v>
      </c>
      <c r="C149" s="66"/>
      <c r="D149" s="67"/>
      <c r="E149" s="1"/>
      <c r="F149" s="1"/>
      <c r="G149" s="1"/>
      <c r="H149" s="5"/>
    </row>
    <row r="150" spans="2:8" x14ac:dyDescent="0.25">
      <c r="B150" s="70">
        <v>127</v>
      </c>
      <c r="C150" s="66"/>
      <c r="D150" s="67"/>
      <c r="E150" s="1"/>
      <c r="F150" s="1"/>
      <c r="G150" s="1"/>
      <c r="H150" s="5"/>
    </row>
    <row r="151" spans="2:8" x14ac:dyDescent="0.25">
      <c r="B151" s="70">
        <v>128</v>
      </c>
      <c r="C151" s="66"/>
      <c r="D151" s="67"/>
      <c r="E151" s="1"/>
      <c r="F151" s="1"/>
      <c r="G151" s="1"/>
      <c r="H151" s="5"/>
    </row>
    <row r="152" spans="2:8" x14ac:dyDescent="0.25">
      <c r="B152" s="70">
        <v>129</v>
      </c>
      <c r="C152" s="66"/>
      <c r="D152" s="67"/>
      <c r="E152" s="1"/>
      <c r="F152" s="1"/>
      <c r="G152" s="1"/>
      <c r="H152" s="5"/>
    </row>
    <row r="153" spans="2:8" x14ac:dyDescent="0.25">
      <c r="B153" s="70">
        <v>130</v>
      </c>
      <c r="C153" s="66"/>
      <c r="D153" s="67"/>
      <c r="E153" s="1"/>
      <c r="F153" s="1"/>
      <c r="G153" s="1"/>
      <c r="H153" s="5"/>
    </row>
    <row r="154" spans="2:8" x14ac:dyDescent="0.25">
      <c r="B154" s="4">
        <v>131</v>
      </c>
      <c r="C154" s="66"/>
      <c r="D154" s="67"/>
      <c r="E154" s="1"/>
      <c r="F154" s="1"/>
      <c r="G154" s="1"/>
      <c r="H154" s="5"/>
    </row>
    <row r="155" spans="2:8" x14ac:dyDescent="0.25">
      <c r="B155" s="70">
        <v>132</v>
      </c>
      <c r="C155" s="66"/>
      <c r="D155" s="67"/>
      <c r="E155" s="1"/>
      <c r="F155" s="1"/>
      <c r="G155" s="1"/>
      <c r="H155" s="5"/>
    </row>
    <row r="156" spans="2:8" x14ac:dyDescent="0.25">
      <c r="B156" s="70">
        <v>133</v>
      </c>
      <c r="C156" s="66"/>
      <c r="D156" s="67"/>
      <c r="E156" s="1"/>
      <c r="F156" s="1"/>
      <c r="G156" s="1"/>
      <c r="H156" s="5"/>
    </row>
    <row r="157" spans="2:8" x14ac:dyDescent="0.25">
      <c r="B157" s="70">
        <v>134</v>
      </c>
      <c r="C157" s="66"/>
      <c r="D157" s="67"/>
      <c r="E157" s="1"/>
      <c r="F157" s="1"/>
      <c r="G157" s="1"/>
      <c r="H157" s="5"/>
    </row>
    <row r="158" spans="2:8" x14ac:dyDescent="0.25">
      <c r="B158" s="70">
        <v>135</v>
      </c>
      <c r="C158" s="66"/>
      <c r="D158" s="67"/>
      <c r="E158" s="1"/>
      <c r="F158" s="1"/>
      <c r="G158" s="1"/>
      <c r="H158" s="5"/>
    </row>
    <row r="159" spans="2:8" x14ac:dyDescent="0.25">
      <c r="B159" s="4">
        <v>136</v>
      </c>
      <c r="C159" s="66"/>
      <c r="D159" s="67"/>
      <c r="E159" s="1"/>
      <c r="F159" s="1"/>
      <c r="G159" s="1"/>
      <c r="H159" s="5"/>
    </row>
    <row r="160" spans="2:8" x14ac:dyDescent="0.25">
      <c r="B160" s="70">
        <v>137</v>
      </c>
      <c r="C160" s="66"/>
      <c r="D160" s="67"/>
      <c r="E160" s="1"/>
      <c r="F160" s="1"/>
      <c r="G160" s="1"/>
      <c r="H160" s="5"/>
    </row>
    <row r="161" spans="2:10" x14ac:dyDescent="0.25">
      <c r="B161" s="70">
        <v>138</v>
      </c>
      <c r="C161" s="66"/>
      <c r="D161" s="67"/>
      <c r="E161" s="1"/>
      <c r="F161" s="1"/>
      <c r="G161" s="1"/>
      <c r="H161" s="5"/>
    </row>
    <row r="162" spans="2:10" x14ac:dyDescent="0.25">
      <c r="B162" s="70">
        <v>139</v>
      </c>
      <c r="C162" s="66"/>
      <c r="D162" s="67"/>
      <c r="E162" s="1"/>
      <c r="F162" s="1"/>
      <c r="G162" s="1"/>
      <c r="H162" s="5"/>
    </row>
    <row r="163" spans="2:10" x14ac:dyDescent="0.25">
      <c r="B163" s="4">
        <v>140</v>
      </c>
      <c r="C163" s="66"/>
      <c r="D163" s="67"/>
      <c r="E163" s="1"/>
      <c r="F163" s="1"/>
      <c r="G163" s="1"/>
      <c r="H163" s="5"/>
    </row>
    <row r="164" spans="2:10" x14ac:dyDescent="0.25">
      <c r="B164" s="70">
        <v>141</v>
      </c>
      <c r="C164" s="66"/>
      <c r="D164" s="67"/>
      <c r="E164" s="1"/>
      <c r="F164" s="1"/>
      <c r="G164" s="1"/>
      <c r="H164" s="5"/>
    </row>
    <row r="165" spans="2:10" x14ac:dyDescent="0.25">
      <c r="B165" s="70">
        <v>142</v>
      </c>
      <c r="C165" s="66"/>
      <c r="D165" s="67"/>
      <c r="E165" s="1"/>
      <c r="F165" s="1"/>
      <c r="G165" s="1"/>
      <c r="H165" s="5"/>
    </row>
    <row r="166" spans="2:10" x14ac:dyDescent="0.25">
      <c r="B166" s="70">
        <v>143</v>
      </c>
      <c r="C166" s="66"/>
      <c r="D166" s="67"/>
      <c r="E166" s="1"/>
      <c r="F166" s="1"/>
      <c r="G166" s="1"/>
      <c r="H166" s="5"/>
    </row>
    <row r="167" spans="2:10" x14ac:dyDescent="0.25">
      <c r="B167" s="70">
        <v>144</v>
      </c>
      <c r="C167" s="66"/>
      <c r="D167" s="67"/>
      <c r="E167" s="1"/>
      <c r="F167" s="1"/>
      <c r="G167" s="1"/>
      <c r="H167" s="5"/>
    </row>
    <row r="168" spans="2:10" x14ac:dyDescent="0.25">
      <c r="B168" s="4">
        <v>145</v>
      </c>
      <c r="C168" s="66"/>
      <c r="D168" s="67"/>
      <c r="E168" s="1"/>
      <c r="F168" s="1"/>
      <c r="G168" s="1"/>
      <c r="H168" s="5"/>
      <c r="I168" s="1"/>
      <c r="J168" s="1"/>
    </row>
    <row r="169" spans="2:10" x14ac:dyDescent="0.25">
      <c r="B169" s="70">
        <v>146</v>
      </c>
      <c r="C169" s="66"/>
      <c r="D169" s="67"/>
      <c r="E169" s="1"/>
      <c r="F169" s="1"/>
      <c r="G169" s="1"/>
      <c r="H169" s="5"/>
    </row>
    <row r="170" spans="2:10" x14ac:dyDescent="0.25">
      <c r="B170" s="70">
        <v>147</v>
      </c>
      <c r="C170" s="66"/>
      <c r="D170" s="67"/>
      <c r="E170" s="1"/>
      <c r="F170" s="1"/>
      <c r="G170" s="1"/>
      <c r="H170" s="5"/>
    </row>
    <row r="171" spans="2:10" x14ac:dyDescent="0.25">
      <c r="B171" s="70">
        <v>148</v>
      </c>
      <c r="C171" s="66"/>
      <c r="D171" s="67"/>
      <c r="E171" s="1"/>
      <c r="F171" s="1"/>
      <c r="G171" s="1"/>
      <c r="H171" s="5"/>
    </row>
    <row r="172" spans="2:10" x14ac:dyDescent="0.25">
      <c r="B172" s="70">
        <v>149</v>
      </c>
      <c r="C172" s="66"/>
      <c r="D172" s="67"/>
      <c r="E172" s="1"/>
      <c r="F172" s="1"/>
      <c r="G172" s="1"/>
      <c r="H172" s="5"/>
    </row>
    <row r="173" spans="2:10" ht="15.75" thickBot="1" x14ac:dyDescent="0.3">
      <c r="B173" s="8">
        <v>150</v>
      </c>
      <c r="C173" s="133"/>
      <c r="D173" s="134"/>
      <c r="E173" s="9"/>
      <c r="F173" s="9"/>
      <c r="G173" s="9"/>
      <c r="H173" s="10"/>
    </row>
  </sheetData>
  <mergeCells count="6">
    <mergeCell ref="J42:N42"/>
    <mergeCell ref="B1:C1"/>
    <mergeCell ref="B15:H15"/>
    <mergeCell ref="J15:P15"/>
    <mergeCell ref="B22:H22"/>
    <mergeCell ref="J35:N35"/>
  </mergeCells>
  <conditionalFormatting sqref="K39:N40">
    <cfRule type="cellIs" dxfId="108" priority="1" operator="greaterThan">
      <formula>0</formula>
    </cfRule>
    <cfRule type="cellIs" dxfId="107" priority="2" operator="lessThan">
      <formula>0</formula>
    </cfRule>
  </conditionalFormatting>
  <conditionalFormatting sqref="K46:N47">
    <cfRule type="cellIs" dxfId="106" priority="3" operator="greaterThan">
      <formula>0</formula>
    </cfRule>
    <cfRule type="cellIs" dxfId="105" priority="4" operator="lessThan">
      <formula>0</formula>
    </cfRule>
  </conditionalFormatting>
  <dataValidations count="1">
    <dataValidation type="list" allowBlank="1" showInputMessage="1" showErrorMessage="1" sqref="C3" xr:uid="{A7D4AB91-5162-40B5-9D68-F23545B74CFE}">
      <formula1>"enero,febrero,marzo,abril,mayo,junio,julio,agosto,septiembre,octubre,noviembre,diciembre"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92FF7C-CBC3-4FD9-A82C-AD0BE87F86AB}">
          <x14:formula1>
            <xm:f>'Datos - Gastos'!$C$2:$C$12</xm:f>
          </x14:formula1>
          <xm:sqref>E17:E19 E108:E109 E101:E106 E24:E98</xm:sqref>
        </x14:dataValidation>
        <x14:dataValidation type="list" allowBlank="1" showInputMessage="1" showErrorMessage="1" xr:uid="{9A1165AF-669C-4706-9CEE-155917016AB7}">
          <x14:formula1>
            <xm:f>'Datos - Gastos'!$A$2:$A$35</xm:f>
          </x14:formula1>
          <xm:sqref>F17:F19 F96:F1048576 F91:F94 F24:F89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05BB-6E25-4309-A65F-5CE6A678849A}">
  <sheetPr>
    <tabColor theme="5" tint="0.79998168889431442"/>
  </sheetPr>
  <dimension ref="B1:Y173"/>
  <sheetViews>
    <sheetView showGridLines="0" topLeftCell="A32" zoomScaleNormal="100" workbookViewId="0">
      <selection activeCell="L27" sqref="L27"/>
    </sheetView>
  </sheetViews>
  <sheetFormatPr baseColWidth="10" defaultRowHeight="15" x14ac:dyDescent="0.25"/>
  <cols>
    <col min="1" max="1" width="2.42578125" customWidth="1"/>
    <col min="2" max="2" width="16.28515625" bestFit="1" customWidth="1"/>
    <col min="3" max="3" width="14.5703125" bestFit="1" customWidth="1"/>
    <col min="4" max="4" width="15.5703125" bestFit="1" customWidth="1"/>
    <col min="5" max="5" width="30.5703125" bestFit="1" customWidth="1"/>
    <col min="6" max="6" width="29.28515625" bestFit="1" customWidth="1"/>
    <col min="7" max="7" width="46" bestFit="1" customWidth="1"/>
    <col min="8" max="8" width="11" style="1" customWidth="1"/>
    <col min="9" max="9" width="6.140625" customWidth="1"/>
    <col min="10" max="10" width="29.28515625" bestFit="1" customWidth="1"/>
    <col min="11" max="11" width="18.42578125" style="1" bestFit="1" customWidth="1"/>
    <col min="12" max="12" width="19" style="1" bestFit="1" customWidth="1"/>
    <col min="13" max="13" width="19.85546875" style="1" bestFit="1" customWidth="1"/>
    <col min="14" max="14" width="29.28515625" style="1" bestFit="1" customWidth="1"/>
    <col min="15" max="15" width="20.85546875" customWidth="1"/>
    <col min="16" max="16" width="18.5703125" customWidth="1"/>
    <col min="17" max="17" width="5" customWidth="1"/>
    <col min="18" max="18" width="27.140625" bestFit="1" customWidth="1"/>
    <col min="19" max="19" width="18.42578125" bestFit="1" customWidth="1"/>
    <col min="20" max="20" width="19" bestFit="1" customWidth="1"/>
    <col min="21" max="21" width="19.85546875" bestFit="1" customWidth="1"/>
    <col min="22" max="22" width="20.42578125" bestFit="1" customWidth="1"/>
    <col min="23" max="23" width="29.7109375" customWidth="1"/>
  </cols>
  <sheetData>
    <row r="1" spans="2:25" ht="15.75" thickBot="1" x14ac:dyDescent="0.3">
      <c r="B1" s="248" t="s">
        <v>155</v>
      </c>
      <c r="C1" s="249"/>
      <c r="J1" s="116" t="s">
        <v>119</v>
      </c>
      <c r="K1" s="117" t="s">
        <v>111</v>
      </c>
      <c r="L1" s="118" t="s">
        <v>112</v>
      </c>
      <c r="M1"/>
      <c r="N1" s="116" t="s">
        <v>120</v>
      </c>
      <c r="O1" s="117" t="s">
        <v>111</v>
      </c>
      <c r="P1" s="118" t="s">
        <v>112</v>
      </c>
      <c r="Q1" s="1"/>
      <c r="R1" s="116" t="s">
        <v>198</v>
      </c>
      <c r="S1" s="117" t="s">
        <v>111</v>
      </c>
      <c r="T1" s="118" t="s">
        <v>112</v>
      </c>
      <c r="Y1" s="126"/>
    </row>
    <row r="2" spans="2:25" x14ac:dyDescent="0.25">
      <c r="B2" s="114" t="s">
        <v>124</v>
      </c>
      <c r="C2" s="74">
        <v>2026</v>
      </c>
      <c r="J2" s="120" t="s">
        <v>110</v>
      </c>
      <c r="K2" s="79">
        <f>'Gastos septiembre'!O2</f>
        <v>10000</v>
      </c>
      <c r="L2" s="121">
        <f>K2*D7</f>
        <v>0</v>
      </c>
      <c r="M2"/>
      <c r="N2" s="120" t="s">
        <v>110</v>
      </c>
      <c r="O2" s="79">
        <f>K2+SUMIF($E$24:$E$173,$N2,$C$24:$C$173)+SUMIF($E$24:$E$173,$N2,$D$24:$D$173)</f>
        <v>10000</v>
      </c>
      <c r="P2" s="121">
        <f>O2*$D$7</f>
        <v>0</v>
      </c>
      <c r="Q2" s="1"/>
      <c r="R2" s="120" t="s">
        <v>110</v>
      </c>
      <c r="S2" s="79">
        <f t="shared" ref="S2:S10" si="0">IFERROR(IF(O2&gt;K2,O2-K2,K2-O2),0)</f>
        <v>0</v>
      </c>
      <c r="T2" s="121">
        <f t="shared" ref="T2:T10" si="1">IFERROR(IF(P2&gt;L2,P2-L2,L2-P2),0)</f>
        <v>0</v>
      </c>
    </row>
    <row r="3" spans="2:25" x14ac:dyDescent="0.25">
      <c r="B3" s="114" t="s">
        <v>125</v>
      </c>
      <c r="C3" s="75" t="s">
        <v>18</v>
      </c>
      <c r="J3" s="120" t="s">
        <v>109</v>
      </c>
      <c r="K3" s="79">
        <f>'Gastos septiembre'!O3</f>
        <v>500</v>
      </c>
      <c r="L3" s="121">
        <f>K3*D7</f>
        <v>0</v>
      </c>
      <c r="M3"/>
      <c r="N3" s="120" t="s">
        <v>109</v>
      </c>
      <c r="O3" s="79">
        <f>K3</f>
        <v>500</v>
      </c>
      <c r="P3" s="121">
        <f>L3+SUMIF($E$24:$E$173,$N3,$C$24:$C$173)+SUMIF($E$24:$E$173,$N3,$D$24:$D$173)</f>
        <v>0</v>
      </c>
      <c r="Q3" s="1"/>
      <c r="R3" s="120" t="s">
        <v>109</v>
      </c>
      <c r="S3" s="79">
        <f t="shared" si="0"/>
        <v>0</v>
      </c>
      <c r="T3" s="121">
        <f t="shared" si="1"/>
        <v>0</v>
      </c>
    </row>
    <row r="4" spans="2:25" x14ac:dyDescent="0.25">
      <c r="B4" s="115" t="s">
        <v>126</v>
      </c>
      <c r="C4" s="76">
        <f>DAY(EOMONTH(DATE($C$2,MATCH($C$3,{"enero";"febrero";"marzo";"abril";"mayo";"junio";"julio";"agosto";"septiembre";"octubre";"noviembre";"diciembre"},0),1),0))</f>
        <v>31</v>
      </c>
      <c r="J4" s="120" t="s">
        <v>108</v>
      </c>
      <c r="K4" s="79" t="str">
        <f>'Gastos septiembre'!O4</f>
        <v/>
      </c>
      <c r="L4" s="121">
        <f>'Gastos septiembre'!P4</f>
        <v>1647262.62</v>
      </c>
      <c r="M4"/>
      <c r="N4" s="120" t="s">
        <v>108</v>
      </c>
      <c r="O4" s="125" t="str">
        <f>IFERROR(P4/$C$8,"")</f>
        <v/>
      </c>
      <c r="P4" s="121">
        <f>L4+SUMIF($E$24:$E$173,$N4,$C$24:$C$173)+SUMIF($E$24:$E$173,$N4,$D$24:$D$173)</f>
        <v>1647262.62</v>
      </c>
      <c r="Q4" s="1"/>
      <c r="R4" s="120" t="s">
        <v>108</v>
      </c>
      <c r="S4" s="79">
        <f t="shared" si="0"/>
        <v>0</v>
      </c>
      <c r="T4" s="121">
        <f t="shared" si="1"/>
        <v>0</v>
      </c>
    </row>
    <row r="5" spans="2:25" x14ac:dyDescent="0.25">
      <c r="J5" s="120" t="s">
        <v>115</v>
      </c>
      <c r="K5" s="79" t="str">
        <f>'Gastos septiembre'!O5</f>
        <v/>
      </c>
      <c r="L5" s="121">
        <f>'Gastos septiembre'!P5</f>
        <v>3896368.7699999996</v>
      </c>
      <c r="M5"/>
      <c r="N5" s="120" t="s">
        <v>115</v>
      </c>
      <c r="O5" s="125" t="str">
        <f>IFERROR(P5/$C$8,"")</f>
        <v/>
      </c>
      <c r="P5" s="121">
        <f>L5+SUMIF($E$24:$E$173,$N5,$C$24:$C$173)+SUMIF($E$24:$E$173,$N5,$D$24:$D$173)</f>
        <v>3896368.7699999996</v>
      </c>
      <c r="Q5" s="1"/>
      <c r="R5" s="120" t="s">
        <v>115</v>
      </c>
      <c r="S5" s="79">
        <f t="shared" si="0"/>
        <v>0</v>
      </c>
      <c r="T5" s="121">
        <f t="shared" si="1"/>
        <v>0</v>
      </c>
    </row>
    <row r="6" spans="2:25" ht="15.75" thickBot="1" x14ac:dyDescent="0.3">
      <c r="B6" s="116" t="s">
        <v>113</v>
      </c>
      <c r="C6" s="117" t="s">
        <v>127</v>
      </c>
      <c r="D6" s="118" t="s">
        <v>128</v>
      </c>
      <c r="E6" s="112"/>
      <c r="J6" s="120" t="s">
        <v>130</v>
      </c>
      <c r="K6" s="79" t="str">
        <f>'Gastos septiembre'!O6</f>
        <v/>
      </c>
      <c r="L6" s="121">
        <f>'Gastos septiembre'!P6</f>
        <v>5648.429999998305</v>
      </c>
      <c r="M6"/>
      <c r="N6" s="120" t="s">
        <v>130</v>
      </c>
      <c r="O6" s="125" t="str">
        <f>IFERROR(P6/$C$8,"")</f>
        <v/>
      </c>
      <c r="P6" s="121">
        <f>L6+SUMIF($E$24:$E$173,$N6,$C$24:$C$173)+SUMIF($E$24:$E$173,$N6,$D$24:$D$173)</f>
        <v>5648.429999998305</v>
      </c>
      <c r="Q6" s="1"/>
      <c r="R6" s="120" t="s">
        <v>130</v>
      </c>
      <c r="S6" s="79">
        <f t="shared" si="0"/>
        <v>0</v>
      </c>
      <c r="T6" s="121">
        <f t="shared" si="1"/>
        <v>0</v>
      </c>
    </row>
    <row r="7" spans="2:25" x14ac:dyDescent="0.25">
      <c r="B7" s="127">
        <f>DATE($C$2,MATCH($C$3,{"enero";"febrero";"marzo";"abril";"mayo";"junio";"julio";"agosto";"septiembre";"octubre";"noviembre";"diciembre"},0),1)</f>
        <v>46296</v>
      </c>
      <c r="C7" s="128"/>
      <c r="D7" s="129"/>
      <c r="E7" s="14"/>
      <c r="J7" s="120" t="s">
        <v>131</v>
      </c>
      <c r="K7" s="79">
        <f>'Gastos septiembre'!O7</f>
        <v>1.8800000000000026</v>
      </c>
      <c r="L7" s="121">
        <f>K7*D7</f>
        <v>0</v>
      </c>
      <c r="M7"/>
      <c r="N7" s="120" t="s">
        <v>131</v>
      </c>
      <c r="O7" s="63">
        <f>K7+SUM(C17:C19)+SUM(D17:D19)</f>
        <v>1.8800000000000026</v>
      </c>
      <c r="P7" s="121">
        <f>O7*$D$8</f>
        <v>0</v>
      </c>
      <c r="Q7" s="1"/>
      <c r="R7" s="120" t="s">
        <v>131</v>
      </c>
      <c r="S7" s="79">
        <f t="shared" si="0"/>
        <v>0</v>
      </c>
      <c r="T7" s="121">
        <f t="shared" si="1"/>
        <v>0</v>
      </c>
    </row>
    <row r="8" spans="2:25" x14ac:dyDescent="0.25">
      <c r="B8" s="119">
        <f>DATE($C$2,MATCH($C$3,{"enero";"febrero";"marzo";"abril";"mayo";"junio";"julio";"agosto";"septiembre";"octubre";"noviembre";"diciembre"},0),C4)</f>
        <v>46326</v>
      </c>
      <c r="C8" s="130"/>
      <c r="D8" s="76"/>
      <c r="J8" s="120" t="s">
        <v>114</v>
      </c>
      <c r="K8" s="79" t="str">
        <f>'Gastos septiembre'!O8</f>
        <v/>
      </c>
      <c r="L8" s="121">
        <f>'Gastos septiembre'!P8</f>
        <v>565.09</v>
      </c>
      <c r="M8"/>
      <c r="N8" s="120" t="s">
        <v>116</v>
      </c>
      <c r="O8" s="125" t="str">
        <f>IFERROR(P8/$C$8,"")</f>
        <v/>
      </c>
      <c r="P8" s="121">
        <f>L8+SUMIF($E$24:$E$173,$N8,$C$24:$C$173)+SUMIF($E$24:$E$173,$N8,$D$24:$D$173)</f>
        <v>565.09</v>
      </c>
      <c r="Q8" s="1"/>
      <c r="R8" s="120" t="s">
        <v>116</v>
      </c>
      <c r="S8" s="79">
        <f t="shared" si="0"/>
        <v>0</v>
      </c>
      <c r="T8" s="121">
        <f t="shared" si="1"/>
        <v>0</v>
      </c>
    </row>
    <row r="9" spans="2:25" x14ac:dyDescent="0.25">
      <c r="J9" s="120" t="s">
        <v>117</v>
      </c>
      <c r="K9" s="79" t="str">
        <f>'Gastos septiembre'!O9</f>
        <v/>
      </c>
      <c r="L9" s="121">
        <f>'Gastos septiembre'!P9</f>
        <v>1.36</v>
      </c>
      <c r="M9"/>
      <c r="N9" s="120" t="s">
        <v>117</v>
      </c>
      <c r="O9" s="125" t="str">
        <f>IFERROR(P9/$C$8,"")</f>
        <v/>
      </c>
      <c r="P9" s="121">
        <f>L9+SUMIF($E$24:$E$173,$N9,$C$24:$C$173)+SUMIF($E$24:$E$173,$N9,$D$24:$D$173)</f>
        <v>1.36</v>
      </c>
      <c r="Q9" s="1"/>
      <c r="R9" s="120" t="s">
        <v>117</v>
      </c>
      <c r="S9" s="79">
        <f t="shared" si="0"/>
        <v>0</v>
      </c>
      <c r="T9" s="121">
        <f t="shared" si="1"/>
        <v>0</v>
      </c>
    </row>
    <row r="10" spans="2:25" x14ac:dyDescent="0.25">
      <c r="J10" s="120" t="s">
        <v>118</v>
      </c>
      <c r="K10" s="79" t="str">
        <f>'Gastos septiembre'!O10</f>
        <v/>
      </c>
      <c r="L10" s="121">
        <f>'Gastos septiembre'!P10</f>
        <v>32600</v>
      </c>
      <c r="M10"/>
      <c r="N10" s="120" t="s">
        <v>118</v>
      </c>
      <c r="O10" s="125" t="str">
        <f>IFERROR(P10/$C$8,"")</f>
        <v/>
      </c>
      <c r="P10" s="121">
        <f>L10+SUMIF($E$24:$E$173,$N10,$C$24:$C$173)+SUMIF($E$24:$E$173,$N10,$D$24:$D$173)</f>
        <v>32600</v>
      </c>
      <c r="Q10" s="1"/>
      <c r="R10" s="120" t="s">
        <v>118</v>
      </c>
      <c r="S10" s="79">
        <f t="shared" si="0"/>
        <v>0</v>
      </c>
      <c r="T10" s="121">
        <f t="shared" si="1"/>
        <v>0</v>
      </c>
    </row>
    <row r="11" spans="2:25" ht="15.75" thickBot="1" x14ac:dyDescent="0.3">
      <c r="J11" s="120"/>
      <c r="K11"/>
      <c r="L11" s="74"/>
      <c r="M11"/>
      <c r="N11" s="120"/>
      <c r="P11" s="74"/>
      <c r="Q11" s="1"/>
      <c r="R11" s="120"/>
      <c r="T11" s="74"/>
    </row>
    <row r="12" spans="2:25" x14ac:dyDescent="0.25">
      <c r="J12" s="122" t="s">
        <v>82</v>
      </c>
      <c r="K12" s="123">
        <f>SUM(K2:K10)</f>
        <v>10501.88</v>
      </c>
      <c r="L12" s="124">
        <f>SUM(L2:L10)</f>
        <v>5582446.2699999986</v>
      </c>
      <c r="M12"/>
      <c r="N12" s="122" t="s">
        <v>82</v>
      </c>
      <c r="O12" s="123">
        <f>SUM(O2:O9)</f>
        <v>10501.88</v>
      </c>
      <c r="P12" s="124">
        <f>SUM(P2:P9)</f>
        <v>5549846.2699999986</v>
      </c>
      <c r="Q12" s="1"/>
      <c r="R12" s="122" t="s">
        <v>82</v>
      </c>
      <c r="S12" s="123">
        <f>SUM(S2:S9)</f>
        <v>0</v>
      </c>
      <c r="T12" s="124">
        <f>SUM(T2:T9)</f>
        <v>0</v>
      </c>
    </row>
    <row r="13" spans="2:25" x14ac:dyDescent="0.25">
      <c r="F13" s="14"/>
    </row>
    <row r="14" spans="2:25" ht="15.75" thickBot="1" x14ac:dyDescent="0.3">
      <c r="F14" s="14"/>
    </row>
    <row r="15" spans="2:25" x14ac:dyDescent="0.25">
      <c r="B15" s="245" t="s">
        <v>180</v>
      </c>
      <c r="C15" s="246"/>
      <c r="D15" s="246"/>
      <c r="E15" s="246"/>
      <c r="F15" s="246"/>
      <c r="G15" s="246"/>
      <c r="H15" s="247"/>
      <c r="J15" s="245" t="s">
        <v>171</v>
      </c>
      <c r="K15" s="246"/>
      <c r="L15" s="246"/>
      <c r="M15" s="246"/>
      <c r="N15" s="246"/>
      <c r="O15" s="246"/>
      <c r="P15" s="247"/>
    </row>
    <row r="16" spans="2:25" x14ac:dyDescent="0.25">
      <c r="B16" s="71" t="s">
        <v>132</v>
      </c>
      <c r="C16" s="72" t="s">
        <v>69</v>
      </c>
      <c r="D16" s="72" t="s">
        <v>122</v>
      </c>
      <c r="E16" s="72" t="s">
        <v>143</v>
      </c>
      <c r="F16" s="72" t="s">
        <v>123</v>
      </c>
      <c r="G16" s="72" t="s">
        <v>129</v>
      </c>
      <c r="H16" s="73" t="s">
        <v>121</v>
      </c>
      <c r="J16" s="82" t="s">
        <v>123</v>
      </c>
      <c r="K16" s="78" t="s">
        <v>170</v>
      </c>
      <c r="L16" s="78" t="s">
        <v>163</v>
      </c>
      <c r="M16" s="78" t="s">
        <v>172</v>
      </c>
      <c r="N16" s="78" t="s">
        <v>173</v>
      </c>
      <c r="P16" s="6"/>
      <c r="Q16" s="112"/>
    </row>
    <row r="17" spans="2:18" x14ac:dyDescent="0.25">
      <c r="B17" s="4">
        <v>1</v>
      </c>
      <c r="C17" s="66"/>
      <c r="D17" s="67"/>
      <c r="E17" s="1"/>
      <c r="F17" s="68"/>
      <c r="G17" s="1"/>
      <c r="H17" s="69"/>
      <c r="J17" s="83" t="s">
        <v>136</v>
      </c>
      <c r="K17" s="63">
        <f>SUMIF($F$24:$F$173,$J17,$D$24:$D$173)</f>
        <v>0</v>
      </c>
      <c r="L17" s="79">
        <f t="shared" ref="L17:L33" si="2">SUMIF($F$24:$F$173,$J17,$C$24:$C$173)</f>
        <v>0</v>
      </c>
      <c r="M17" s="80" t="str">
        <f t="shared" ref="M17:M33" si="3">IFERROR(K17/SUM(K$17:K$32),"")</f>
        <v/>
      </c>
      <c r="N17" s="81" t="str">
        <f t="shared" ref="N17:N33" si="4">IFERROR(L17/SUM(L$17:L$32),"")</f>
        <v/>
      </c>
      <c r="P17" s="6"/>
      <c r="Q17" s="78"/>
    </row>
    <row r="18" spans="2:18" x14ac:dyDescent="0.25">
      <c r="B18" s="70">
        <v>2</v>
      </c>
      <c r="C18" s="66"/>
      <c r="D18" s="67"/>
      <c r="E18" s="1"/>
      <c r="F18" s="68"/>
      <c r="G18" s="68"/>
      <c r="H18" s="69"/>
      <c r="J18" s="83" t="s">
        <v>151</v>
      </c>
      <c r="K18" s="63">
        <f t="shared" ref="K18:K33" si="5">SUMIF($F$24:$F$173,$J18,$C$24:$C$173)+SUMIF($F$24:$F$173,$J18,$D$24:$D$173)</f>
        <v>0</v>
      </c>
      <c r="L18" s="79">
        <f t="shared" si="2"/>
        <v>0</v>
      </c>
      <c r="M18" s="80" t="str">
        <f t="shared" si="3"/>
        <v/>
      </c>
      <c r="N18" s="81" t="str">
        <f t="shared" si="4"/>
        <v/>
      </c>
      <c r="P18" s="6"/>
      <c r="Q18" s="113"/>
    </row>
    <row r="19" spans="2:18" ht="15.75" thickBot="1" x14ac:dyDescent="0.3">
      <c r="B19" s="144">
        <v>3</v>
      </c>
      <c r="C19" s="133"/>
      <c r="D19" s="134"/>
      <c r="E19" s="9"/>
      <c r="F19" s="145"/>
      <c r="G19" s="145"/>
      <c r="H19" s="146"/>
      <c r="J19" s="83" t="s">
        <v>152</v>
      </c>
      <c r="K19" s="63">
        <f t="shared" si="5"/>
        <v>0</v>
      </c>
      <c r="L19" s="79">
        <f t="shared" si="2"/>
        <v>0</v>
      </c>
      <c r="M19" s="80" t="str">
        <f t="shared" si="3"/>
        <v/>
      </c>
      <c r="N19" s="81" t="str">
        <f t="shared" si="4"/>
        <v/>
      </c>
      <c r="P19" s="6"/>
      <c r="Q19" s="113"/>
    </row>
    <row r="20" spans="2:18" x14ac:dyDescent="0.25">
      <c r="J20" s="83" t="s">
        <v>153</v>
      </c>
      <c r="K20" s="63">
        <f t="shared" si="5"/>
        <v>0</v>
      </c>
      <c r="L20" s="79">
        <f t="shared" si="2"/>
        <v>0</v>
      </c>
      <c r="M20" s="80" t="str">
        <f t="shared" si="3"/>
        <v/>
      </c>
      <c r="N20" s="81" t="str">
        <f t="shared" si="4"/>
        <v/>
      </c>
      <c r="P20" s="6"/>
      <c r="Q20" s="113"/>
    </row>
    <row r="21" spans="2:18" ht="15.75" thickBot="1" x14ac:dyDescent="0.3">
      <c r="J21" s="83" t="s">
        <v>154</v>
      </c>
      <c r="K21" s="63">
        <f t="shared" si="5"/>
        <v>0</v>
      </c>
      <c r="L21" s="79">
        <f t="shared" si="2"/>
        <v>0</v>
      </c>
      <c r="M21" s="80" t="str">
        <f t="shared" si="3"/>
        <v/>
      </c>
      <c r="N21" s="81" t="str">
        <f t="shared" si="4"/>
        <v/>
      </c>
      <c r="P21" s="6"/>
    </row>
    <row r="22" spans="2:18" x14ac:dyDescent="0.25">
      <c r="B22" s="245" t="s">
        <v>179</v>
      </c>
      <c r="C22" s="246"/>
      <c r="D22" s="246"/>
      <c r="E22" s="246"/>
      <c r="F22" s="246"/>
      <c r="G22" s="246"/>
      <c r="H22" s="247"/>
      <c r="J22" s="83" t="s">
        <v>137</v>
      </c>
      <c r="K22" s="63">
        <f t="shared" si="5"/>
        <v>0</v>
      </c>
      <c r="L22" s="79">
        <f t="shared" si="2"/>
        <v>0</v>
      </c>
      <c r="M22" s="80" t="str">
        <f t="shared" si="3"/>
        <v/>
      </c>
      <c r="N22" s="81" t="str">
        <f t="shared" si="4"/>
        <v/>
      </c>
      <c r="P22" s="6"/>
    </row>
    <row r="23" spans="2:18" x14ac:dyDescent="0.25">
      <c r="B23" s="71" t="s">
        <v>132</v>
      </c>
      <c r="C23" s="72" t="s">
        <v>69</v>
      </c>
      <c r="D23" s="72" t="s">
        <v>122</v>
      </c>
      <c r="E23" s="72" t="s">
        <v>143</v>
      </c>
      <c r="F23" s="72" t="s">
        <v>123</v>
      </c>
      <c r="G23" s="72" t="s">
        <v>129</v>
      </c>
      <c r="H23" s="73" t="s">
        <v>121</v>
      </c>
      <c r="J23" s="83" t="s">
        <v>138</v>
      </c>
      <c r="K23" s="63">
        <f t="shared" si="5"/>
        <v>0</v>
      </c>
      <c r="L23" s="79">
        <f t="shared" si="2"/>
        <v>0</v>
      </c>
      <c r="M23" s="80" t="str">
        <f t="shared" si="3"/>
        <v/>
      </c>
      <c r="N23" s="81" t="str">
        <f t="shared" si="4"/>
        <v/>
      </c>
      <c r="P23" s="6"/>
    </row>
    <row r="24" spans="2:18" x14ac:dyDescent="0.25">
      <c r="B24" s="4">
        <v>1</v>
      </c>
      <c r="D24" s="67"/>
      <c r="E24" s="1"/>
      <c r="F24" s="68"/>
      <c r="G24" s="1"/>
      <c r="H24" s="69"/>
      <c r="J24" s="83" t="s">
        <v>139</v>
      </c>
      <c r="K24" s="63">
        <f t="shared" si="5"/>
        <v>0</v>
      </c>
      <c r="L24" s="79">
        <f t="shared" si="2"/>
        <v>0</v>
      </c>
      <c r="M24" s="80" t="str">
        <f t="shared" si="3"/>
        <v/>
      </c>
      <c r="N24" s="81" t="str">
        <f t="shared" si="4"/>
        <v/>
      </c>
      <c r="P24" s="6"/>
    </row>
    <row r="25" spans="2:18" x14ac:dyDescent="0.25">
      <c r="B25" s="70">
        <v>2</v>
      </c>
      <c r="C25" s="66"/>
      <c r="D25" s="67"/>
      <c r="E25" s="1"/>
      <c r="F25" s="68"/>
      <c r="G25" s="68"/>
      <c r="H25" s="69"/>
      <c r="J25" s="83" t="s">
        <v>140</v>
      </c>
      <c r="K25" s="63">
        <f t="shared" si="5"/>
        <v>0</v>
      </c>
      <c r="L25" s="79">
        <f t="shared" si="2"/>
        <v>0</v>
      </c>
      <c r="M25" s="80" t="str">
        <f t="shared" si="3"/>
        <v/>
      </c>
      <c r="N25" s="81" t="str">
        <f t="shared" si="4"/>
        <v/>
      </c>
      <c r="P25" s="6"/>
    </row>
    <row r="26" spans="2:18" x14ac:dyDescent="0.25">
      <c r="B26" s="70">
        <v>3</v>
      </c>
      <c r="C26" s="66"/>
      <c r="D26" s="67"/>
      <c r="E26" s="1"/>
      <c r="F26" s="68"/>
      <c r="G26" s="68"/>
      <c r="H26" s="69"/>
      <c r="J26" s="83" t="s">
        <v>141</v>
      </c>
      <c r="K26" s="63">
        <f t="shared" si="5"/>
        <v>0</v>
      </c>
      <c r="L26" s="79">
        <f t="shared" si="2"/>
        <v>0</v>
      </c>
      <c r="M26" s="80" t="str">
        <f t="shared" si="3"/>
        <v/>
      </c>
      <c r="N26" s="81" t="str">
        <f t="shared" si="4"/>
        <v/>
      </c>
      <c r="P26" s="6"/>
      <c r="R26" s="63"/>
    </row>
    <row r="27" spans="2:18" x14ac:dyDescent="0.25">
      <c r="B27" s="70">
        <v>4</v>
      </c>
      <c r="C27" s="66"/>
      <c r="D27" s="67"/>
      <c r="E27" s="1"/>
      <c r="F27" s="68"/>
      <c r="G27" s="68"/>
      <c r="H27" s="69"/>
      <c r="J27" s="83" t="s">
        <v>149</v>
      </c>
      <c r="K27" s="63">
        <f t="shared" si="5"/>
        <v>0</v>
      </c>
      <c r="L27" s="79">
        <f t="shared" si="2"/>
        <v>0</v>
      </c>
      <c r="M27" s="80" t="str">
        <f t="shared" si="3"/>
        <v/>
      </c>
      <c r="N27" s="81" t="str">
        <f t="shared" si="4"/>
        <v/>
      </c>
      <c r="P27" s="6"/>
    </row>
    <row r="28" spans="2:18" x14ac:dyDescent="0.25">
      <c r="B28" s="70">
        <v>5</v>
      </c>
      <c r="C28" s="66"/>
      <c r="D28" s="67"/>
      <c r="E28" s="1"/>
      <c r="F28" s="68"/>
      <c r="G28" s="68"/>
      <c r="H28" s="69"/>
      <c r="J28" s="83" t="s">
        <v>150</v>
      </c>
      <c r="K28" s="63">
        <f t="shared" si="5"/>
        <v>0</v>
      </c>
      <c r="L28" s="79">
        <f t="shared" si="2"/>
        <v>0</v>
      </c>
      <c r="M28" s="80" t="str">
        <f t="shared" si="3"/>
        <v/>
      </c>
      <c r="N28" s="81" t="str">
        <f t="shared" si="4"/>
        <v/>
      </c>
      <c r="P28" s="6"/>
    </row>
    <row r="29" spans="2:18" x14ac:dyDescent="0.25">
      <c r="B29" s="4">
        <v>6</v>
      </c>
      <c r="C29" s="66"/>
      <c r="D29" s="67"/>
      <c r="E29" s="1"/>
      <c r="F29" s="68"/>
      <c r="G29" s="68"/>
      <c r="H29" s="69"/>
      <c r="J29" s="83" t="s">
        <v>158</v>
      </c>
      <c r="K29" s="63">
        <f t="shared" si="5"/>
        <v>0</v>
      </c>
      <c r="L29" s="79">
        <f t="shared" si="2"/>
        <v>0</v>
      </c>
      <c r="M29" s="80" t="str">
        <f t="shared" si="3"/>
        <v/>
      </c>
      <c r="N29" s="81" t="str">
        <f t="shared" si="4"/>
        <v/>
      </c>
      <c r="P29" s="6"/>
    </row>
    <row r="30" spans="2:18" x14ac:dyDescent="0.25">
      <c r="B30" s="70">
        <v>7</v>
      </c>
      <c r="C30" s="66"/>
      <c r="D30" s="67"/>
      <c r="E30" s="1"/>
      <c r="F30" s="68"/>
      <c r="G30" s="68"/>
      <c r="H30" s="69"/>
      <c r="J30" s="83" t="s">
        <v>157</v>
      </c>
      <c r="K30" s="63">
        <f t="shared" si="5"/>
        <v>0</v>
      </c>
      <c r="L30" s="79">
        <f t="shared" si="2"/>
        <v>0</v>
      </c>
      <c r="M30" s="80" t="str">
        <f t="shared" si="3"/>
        <v/>
      </c>
      <c r="N30" s="81" t="str">
        <f t="shared" si="4"/>
        <v/>
      </c>
      <c r="P30" s="6"/>
    </row>
    <row r="31" spans="2:18" x14ac:dyDescent="0.25">
      <c r="B31" s="70">
        <v>8</v>
      </c>
      <c r="C31" s="66"/>
      <c r="D31" s="67"/>
      <c r="E31" s="1"/>
      <c r="F31" s="68"/>
      <c r="G31" s="68"/>
      <c r="H31" s="69"/>
      <c r="J31" s="83" t="s">
        <v>159</v>
      </c>
      <c r="K31" s="63">
        <f t="shared" si="5"/>
        <v>0</v>
      </c>
      <c r="L31" s="79">
        <f t="shared" si="2"/>
        <v>0</v>
      </c>
      <c r="M31" s="80" t="str">
        <f t="shared" si="3"/>
        <v/>
      </c>
      <c r="N31" s="81" t="str">
        <f t="shared" si="4"/>
        <v/>
      </c>
      <c r="P31" s="6"/>
    </row>
    <row r="32" spans="2:18" x14ac:dyDescent="0.25">
      <c r="B32" s="70">
        <v>9</v>
      </c>
      <c r="C32" s="66"/>
      <c r="D32" s="67"/>
      <c r="E32" s="1"/>
      <c r="F32" s="68"/>
      <c r="G32" s="68"/>
      <c r="H32" s="69"/>
      <c r="J32" s="83" t="s">
        <v>167</v>
      </c>
      <c r="K32" s="63">
        <f t="shared" si="5"/>
        <v>0</v>
      </c>
      <c r="L32" s="79">
        <f t="shared" si="2"/>
        <v>0</v>
      </c>
      <c r="M32" s="80" t="str">
        <f t="shared" si="3"/>
        <v/>
      </c>
      <c r="N32" s="81" t="str">
        <f t="shared" si="4"/>
        <v/>
      </c>
      <c r="P32" s="6"/>
    </row>
    <row r="33" spans="2:16" ht="15.75" thickBot="1" x14ac:dyDescent="0.3">
      <c r="B33" s="70">
        <v>10</v>
      </c>
      <c r="C33" s="66"/>
      <c r="D33" s="67"/>
      <c r="E33" s="1"/>
      <c r="F33" s="68"/>
      <c r="G33" s="68"/>
      <c r="H33" s="69"/>
      <c r="J33" s="84" t="s">
        <v>175</v>
      </c>
      <c r="K33" s="85">
        <f t="shared" si="5"/>
        <v>0</v>
      </c>
      <c r="L33" s="86">
        <f t="shared" si="2"/>
        <v>0</v>
      </c>
      <c r="M33" s="87" t="str">
        <f t="shared" si="3"/>
        <v/>
      </c>
      <c r="N33" s="88" t="str">
        <f t="shared" si="4"/>
        <v/>
      </c>
      <c r="O33" s="7"/>
      <c r="P33" s="19"/>
    </row>
    <row r="34" spans="2:16" x14ac:dyDescent="0.25">
      <c r="B34" s="4">
        <v>11</v>
      </c>
      <c r="C34" s="66"/>
      <c r="D34" s="67"/>
      <c r="E34" s="68"/>
      <c r="F34" s="68"/>
      <c r="G34" s="68"/>
      <c r="H34" s="69"/>
    </row>
    <row r="35" spans="2:16" x14ac:dyDescent="0.25">
      <c r="B35" s="70">
        <v>12</v>
      </c>
      <c r="C35" s="66"/>
      <c r="D35" s="67"/>
      <c r="E35" s="68"/>
      <c r="F35" s="68"/>
      <c r="G35" s="68"/>
      <c r="H35" s="69"/>
      <c r="J35" s="250" t="s">
        <v>115</v>
      </c>
      <c r="K35" s="251"/>
      <c r="L35" s="251"/>
      <c r="M35" s="251"/>
      <c r="N35" s="252"/>
    </row>
    <row r="36" spans="2:16" x14ac:dyDescent="0.25">
      <c r="B36" s="70">
        <v>13</v>
      </c>
      <c r="C36" s="66"/>
      <c r="D36" s="67"/>
      <c r="E36" s="68"/>
      <c r="F36" s="68"/>
      <c r="G36" s="68"/>
      <c r="H36" s="69"/>
      <c r="J36" s="83" t="s">
        <v>115</v>
      </c>
      <c r="K36" s="89">
        <v>46272</v>
      </c>
      <c r="L36" s="89">
        <v>46279</v>
      </c>
      <c r="M36" s="89">
        <v>46286</v>
      </c>
      <c r="N36" s="90">
        <v>46293</v>
      </c>
    </row>
    <row r="37" spans="2:16" x14ac:dyDescent="0.25">
      <c r="B37" s="70">
        <v>14</v>
      </c>
      <c r="C37" s="66"/>
      <c r="D37" s="67"/>
      <c r="E37" s="68"/>
      <c r="F37" s="68"/>
      <c r="G37" s="68"/>
      <c r="H37" s="69"/>
      <c r="J37" s="83" t="s">
        <v>183</v>
      </c>
      <c r="K37" s="63">
        <f>$L$5+SUMIFS($C$24:$C$173,$E$24:$E$173,$N5,$H$24:$H$173,"&lt;="&amp;K$36)+SUMIFS($D$24:$D$173,$E$24:$E$173,$N5,$H$24:$H$173,"&lt;="&amp;K$36)</f>
        <v>3896368.7699999996</v>
      </c>
      <c r="L37" s="79">
        <f>$L$5+SUMIFS($C$24:$C$173,$E$24:$E$173,$N5,$H$24:$H$173,"&lt;"&amp;L$36)+SUMIFS($D$24:$D$173,$E$24:$E$173,$N5,$H$24:$H$173,"&lt;="&amp;L$36)</f>
        <v>3896368.7699999996</v>
      </c>
      <c r="M37" s="79">
        <f>$L$5+SUMIFS($C$24:$C$173,$E$24:$E$173,$N5,$H$24:$H$173,"&lt;"&amp;M$36)+SUMIFS($D$24:$D$173,$E$24:$E$173,$N5,$H$24:$H$173,"&lt;="&amp;M$36)</f>
        <v>3896368.7699999996</v>
      </c>
      <c r="N37" s="131">
        <f>$L$5+SUMIFS($C$24:$C$173,$E$24:$E$173,$N5,$H$24:$H$173,"&lt;"&amp;N$36)+SUMIFS($D$24:$D$173,$E$24:$E$173,$N5,$H$24:$H$173,"&lt;="&amp;N$36)</f>
        <v>3896368.7699999996</v>
      </c>
    </row>
    <row r="38" spans="2:16" x14ac:dyDescent="0.25">
      <c r="B38" s="70">
        <v>15</v>
      </c>
      <c r="C38" s="66"/>
      <c r="D38" s="67"/>
      <c r="E38" s="68"/>
      <c r="F38" s="68"/>
      <c r="G38" s="68"/>
      <c r="H38" s="69"/>
      <c r="J38" s="83" t="s">
        <v>184</v>
      </c>
      <c r="K38" s="79"/>
      <c r="L38" s="79"/>
      <c r="M38" s="79"/>
      <c r="N38" s="131"/>
    </row>
    <row r="39" spans="2:16" x14ac:dyDescent="0.25">
      <c r="B39" s="4">
        <v>16</v>
      </c>
      <c r="C39" s="66"/>
      <c r="D39" s="67"/>
      <c r="E39" s="68"/>
      <c r="F39" s="68"/>
      <c r="G39" s="68"/>
      <c r="H39" s="69"/>
      <c r="J39" s="83" t="s">
        <v>185</v>
      </c>
      <c r="K39" s="63" t="str">
        <f>IF(K38="","",K38-K37)</f>
        <v/>
      </c>
      <c r="L39" s="63" t="str">
        <f>IF(L38="","",L38-L37)</f>
        <v/>
      </c>
      <c r="M39" s="63" t="str">
        <f>IF(M38="","",M38-M37)</f>
        <v/>
      </c>
      <c r="N39" s="91" t="str">
        <f>IF(N38="","",N38-N37)</f>
        <v/>
      </c>
    </row>
    <row r="40" spans="2:16" ht="15.75" thickBot="1" x14ac:dyDescent="0.3">
      <c r="B40" s="70">
        <v>17</v>
      </c>
      <c r="C40" s="66"/>
      <c r="D40" s="67"/>
      <c r="E40" s="1"/>
      <c r="F40" s="68"/>
      <c r="G40" s="68"/>
      <c r="H40" s="69"/>
      <c r="J40" s="84" t="s">
        <v>186</v>
      </c>
      <c r="K40" s="92" t="str">
        <f>IF(K39="","",((K38-K37)/K37))</f>
        <v/>
      </c>
      <c r="L40" s="92" t="str">
        <f>IF(L39="","",((L38-L37)/L37))</f>
        <v/>
      </c>
      <c r="M40" s="92" t="str">
        <f>IF(M39="","",((M38-M37)/M37))</f>
        <v/>
      </c>
      <c r="N40" s="93" t="str">
        <f>IF(N39="","",((N38-N37)/N37))</f>
        <v/>
      </c>
    </row>
    <row r="41" spans="2:16" x14ac:dyDescent="0.25">
      <c r="B41" s="70">
        <v>18</v>
      </c>
      <c r="C41" s="66"/>
      <c r="D41" s="67"/>
      <c r="E41" s="1"/>
      <c r="F41" s="68"/>
      <c r="G41" s="68"/>
      <c r="H41" s="69"/>
      <c r="K41"/>
      <c r="L41"/>
      <c r="M41"/>
      <c r="N41"/>
    </row>
    <row r="42" spans="2:16" x14ac:dyDescent="0.25">
      <c r="B42" s="70">
        <v>19</v>
      </c>
      <c r="C42" s="66"/>
      <c r="D42" s="67"/>
      <c r="E42" s="1"/>
      <c r="F42" s="68"/>
      <c r="G42" s="68"/>
      <c r="H42" s="69"/>
      <c r="J42" s="250" t="s">
        <v>195</v>
      </c>
      <c r="K42" s="251"/>
      <c r="L42" s="251"/>
      <c r="M42" s="251"/>
      <c r="N42" s="252"/>
    </row>
    <row r="43" spans="2:16" x14ac:dyDescent="0.25">
      <c r="B43" s="70">
        <v>20</v>
      </c>
      <c r="C43" s="66"/>
      <c r="D43" s="67"/>
      <c r="E43" s="68"/>
      <c r="F43" s="68"/>
      <c r="G43" s="68"/>
      <c r="H43" s="69"/>
      <c r="J43" s="83" t="s">
        <v>121</v>
      </c>
      <c r="K43" s="89">
        <f>K36</f>
        <v>46272</v>
      </c>
      <c r="L43" s="89">
        <f>L36</f>
        <v>46279</v>
      </c>
      <c r="M43" s="89">
        <f>M36</f>
        <v>46286</v>
      </c>
      <c r="N43" s="90">
        <f>N36</f>
        <v>46293</v>
      </c>
    </row>
    <row r="44" spans="2:16" x14ac:dyDescent="0.25">
      <c r="B44" s="4">
        <v>21</v>
      </c>
      <c r="C44" s="66"/>
      <c r="D44" s="67"/>
      <c r="E44" s="68"/>
      <c r="F44" s="68"/>
      <c r="G44" s="68"/>
      <c r="H44" s="69"/>
      <c r="J44" s="83" t="s">
        <v>196</v>
      </c>
      <c r="K44" s="63">
        <f>$L$4+SUMIFS($D$24:$D$173,$G$24:$G$173,"Transferencia a Petrini",$H$24:$H$173,"&lt;"&amp;K$36)*-1+SUMIFS($D$24:$D$173,$G$24:$G$173,"Transferencia de Petrini",$H$24:$H$173,"&lt;"&amp;K$36)</f>
        <v>1647262.62</v>
      </c>
      <c r="L44" s="63">
        <f>$L$4+SUMIFS($D$24:$D$173,$G$24:$G$173,"Transferencia a Petrini",$H$24:$H$173,"&lt;"&amp;L$36)*-1+SUMIFS($D$24:$D$173,$G$24:$G$173,"Transferencia de Petrini",$H$24:$H$173,"&lt;"&amp;L$36)</f>
        <v>1647262.62</v>
      </c>
      <c r="M44" s="63">
        <f>$L$4+SUMIFS($D$24:$D$173,$G$24:$G$173,"Transferencia a Petrini",$H$24:$H$173,"&lt;"&amp;M$36)*-1+SUMIFS($D$24:$D$173,$G$24:$G$173,"Transferencia de Petrini",$H$24:$H$173,"&lt;"&amp;M$36)</f>
        <v>1647262.62</v>
      </c>
      <c r="N44" s="131">
        <f>$L$4+SUMIFS($D$24:$D$173,$G$24:$G$173,"Transferencia a Petrini",$H$24:$H$173,"&lt;"&amp;N$36)*-1+SUMIFS($D$24:$D$173,$G$24:$G$173,"Transferencia de Petrini",$H$24:$H$173,"&lt;"&amp;N$36)</f>
        <v>1647262.62</v>
      </c>
    </row>
    <row r="45" spans="2:16" x14ac:dyDescent="0.25">
      <c r="B45" s="70">
        <v>22</v>
      </c>
      <c r="C45" s="66"/>
      <c r="D45" s="67"/>
      <c r="E45" s="1"/>
      <c r="F45" s="68"/>
      <c r="G45" s="68"/>
      <c r="H45" s="69"/>
      <c r="J45" s="83" t="s">
        <v>197</v>
      </c>
      <c r="K45" s="79"/>
      <c r="L45" s="79"/>
      <c r="M45" s="63"/>
      <c r="N45" s="131"/>
    </row>
    <row r="46" spans="2:16" x14ac:dyDescent="0.25">
      <c r="B46" s="70">
        <v>23</v>
      </c>
      <c r="C46" s="66"/>
      <c r="D46" s="67"/>
      <c r="E46" s="1"/>
      <c r="F46" s="68"/>
      <c r="G46" s="68"/>
      <c r="H46" s="69"/>
      <c r="J46" s="83" t="s">
        <v>185</v>
      </c>
      <c r="K46" s="63" t="str">
        <f>IF(K45="","",K45-K44)</f>
        <v/>
      </c>
      <c r="L46" s="63" t="str">
        <f>IF(L45="","",L45-L44)</f>
        <v/>
      </c>
      <c r="M46" s="63" t="str">
        <f>IF(M45="","",M45-M44)</f>
        <v/>
      </c>
      <c r="N46" s="91" t="str">
        <f>IF(N45="","",N45-N44)</f>
        <v/>
      </c>
    </row>
    <row r="47" spans="2:16" ht="15.75" thickBot="1" x14ac:dyDescent="0.3">
      <c r="B47" s="70">
        <v>24</v>
      </c>
      <c r="C47" s="66"/>
      <c r="D47" s="67"/>
      <c r="E47" s="1"/>
      <c r="F47" s="68"/>
      <c r="G47" s="1"/>
      <c r="H47" s="69"/>
      <c r="J47" s="84" t="s">
        <v>186</v>
      </c>
      <c r="K47" s="92" t="str">
        <f>IF(K46="","",((K45-K44)/K44))</f>
        <v/>
      </c>
      <c r="L47" s="92" t="str">
        <f>IF(L46="","",((L45-L44)/L44))</f>
        <v/>
      </c>
      <c r="M47" s="92" t="str">
        <f>IF(M46="","",((M45-M44)/M44))</f>
        <v/>
      </c>
      <c r="N47" s="93" t="str">
        <f>IF(N46="","",((N45-N44)/N44))</f>
        <v/>
      </c>
    </row>
    <row r="48" spans="2:16" x14ac:dyDescent="0.25">
      <c r="B48" s="70">
        <v>25</v>
      </c>
      <c r="C48" s="66"/>
      <c r="D48" s="67"/>
      <c r="E48" s="1"/>
      <c r="F48" s="68"/>
      <c r="G48" s="68"/>
      <c r="H48" s="69"/>
    </row>
    <row r="49" spans="2:11" x14ac:dyDescent="0.25">
      <c r="B49" s="4">
        <v>26</v>
      </c>
      <c r="C49" s="66"/>
      <c r="D49" s="67"/>
      <c r="E49" s="1"/>
      <c r="F49" s="68"/>
      <c r="G49" s="68"/>
      <c r="H49" s="69"/>
    </row>
    <row r="50" spans="2:11" x14ac:dyDescent="0.25">
      <c r="B50" s="70">
        <v>27</v>
      </c>
      <c r="C50" s="66"/>
      <c r="D50" s="67"/>
      <c r="E50" s="1"/>
      <c r="F50" s="68"/>
      <c r="G50" s="68"/>
      <c r="H50" s="69"/>
      <c r="K50" s="137"/>
    </row>
    <row r="51" spans="2:11" x14ac:dyDescent="0.25">
      <c r="B51" s="70">
        <v>28</v>
      </c>
      <c r="C51" s="66"/>
      <c r="D51" s="67"/>
      <c r="E51" s="1"/>
      <c r="F51" s="68"/>
      <c r="G51" s="68"/>
      <c r="H51" s="69"/>
    </row>
    <row r="52" spans="2:11" x14ac:dyDescent="0.25">
      <c r="B52" s="70">
        <v>29</v>
      </c>
      <c r="C52" s="66"/>
      <c r="D52" s="67"/>
      <c r="E52" s="68"/>
      <c r="F52" s="68"/>
      <c r="G52" s="68"/>
      <c r="H52" s="69"/>
    </row>
    <row r="53" spans="2:11" x14ac:dyDescent="0.25">
      <c r="B53" s="70">
        <v>30</v>
      </c>
      <c r="C53" s="66"/>
      <c r="D53" s="67"/>
      <c r="E53" s="68"/>
      <c r="F53" s="68"/>
      <c r="G53" s="68"/>
      <c r="H53" s="69"/>
    </row>
    <row r="54" spans="2:11" x14ac:dyDescent="0.25">
      <c r="B54" s="4">
        <v>31</v>
      </c>
      <c r="C54" s="66"/>
      <c r="D54" s="67"/>
      <c r="E54" s="68"/>
      <c r="F54" s="68"/>
      <c r="G54" s="68"/>
      <c r="H54" s="69"/>
    </row>
    <row r="55" spans="2:11" x14ac:dyDescent="0.25">
      <c r="B55" s="70">
        <v>32</v>
      </c>
      <c r="C55" s="66"/>
      <c r="D55" s="67"/>
      <c r="E55" s="1"/>
      <c r="F55" s="68"/>
      <c r="G55" s="68"/>
      <c r="H55" s="69"/>
    </row>
    <row r="56" spans="2:11" x14ac:dyDescent="0.25">
      <c r="B56" s="70">
        <v>33</v>
      </c>
      <c r="C56" s="66"/>
      <c r="D56" s="67"/>
      <c r="E56" s="1"/>
      <c r="F56" s="68"/>
      <c r="G56" s="1"/>
      <c r="H56" s="69"/>
    </row>
    <row r="57" spans="2:11" x14ac:dyDescent="0.25">
      <c r="B57" s="70">
        <v>34</v>
      </c>
      <c r="C57" s="66"/>
      <c r="D57" s="67"/>
      <c r="E57" s="1"/>
      <c r="F57" s="68"/>
      <c r="G57" s="68"/>
      <c r="H57" s="69"/>
    </row>
    <row r="58" spans="2:11" x14ac:dyDescent="0.25">
      <c r="B58" s="70">
        <v>35</v>
      </c>
      <c r="C58" s="66"/>
      <c r="D58" s="67"/>
      <c r="E58" s="1"/>
      <c r="F58" s="1"/>
      <c r="G58" s="1"/>
      <c r="H58" s="69"/>
    </row>
    <row r="59" spans="2:11" x14ac:dyDescent="0.25">
      <c r="B59" s="4">
        <v>36</v>
      </c>
      <c r="C59" s="66"/>
      <c r="D59" s="67"/>
      <c r="E59" s="1"/>
      <c r="F59" s="1"/>
      <c r="G59" s="1"/>
      <c r="H59" s="69"/>
    </row>
    <row r="60" spans="2:11" x14ac:dyDescent="0.25">
      <c r="B60" s="70">
        <v>37</v>
      </c>
      <c r="C60" s="66"/>
      <c r="D60" s="67"/>
      <c r="E60" s="1"/>
      <c r="F60" s="1"/>
      <c r="G60" s="1"/>
      <c r="H60" s="69"/>
    </row>
    <row r="61" spans="2:11" x14ac:dyDescent="0.25">
      <c r="B61" s="70">
        <v>38</v>
      </c>
      <c r="C61" s="66"/>
      <c r="D61" s="67"/>
      <c r="E61" s="1"/>
      <c r="F61" s="1"/>
      <c r="G61" s="1"/>
      <c r="H61" s="69"/>
    </row>
    <row r="62" spans="2:11" x14ac:dyDescent="0.25">
      <c r="B62" s="70">
        <v>39</v>
      </c>
      <c r="C62" s="66"/>
      <c r="D62" s="67"/>
      <c r="E62" s="1"/>
      <c r="F62" s="1"/>
      <c r="G62" s="1"/>
      <c r="H62" s="69"/>
    </row>
    <row r="63" spans="2:11" x14ac:dyDescent="0.25">
      <c r="B63" s="70">
        <v>40</v>
      </c>
      <c r="C63" s="66"/>
      <c r="D63" s="67"/>
      <c r="E63" s="1"/>
      <c r="F63" s="68"/>
      <c r="G63" s="1"/>
      <c r="H63" s="135"/>
    </row>
    <row r="64" spans="2:11" x14ac:dyDescent="0.25">
      <c r="B64" s="4">
        <v>41</v>
      </c>
      <c r="C64" s="66"/>
      <c r="D64" s="67"/>
      <c r="E64" s="1"/>
      <c r="F64" s="68"/>
      <c r="G64" s="1"/>
      <c r="H64" s="135"/>
    </row>
    <row r="65" spans="2:8" x14ac:dyDescent="0.25">
      <c r="B65" s="70">
        <v>42</v>
      </c>
      <c r="C65" s="66"/>
      <c r="D65" s="67"/>
      <c r="E65" s="1"/>
      <c r="F65" s="1"/>
      <c r="G65" s="1"/>
      <c r="H65" s="135"/>
    </row>
    <row r="66" spans="2:8" x14ac:dyDescent="0.25">
      <c r="B66" s="70">
        <v>43</v>
      </c>
      <c r="C66" s="66"/>
      <c r="D66" s="67"/>
      <c r="E66" s="1"/>
      <c r="F66" s="1"/>
      <c r="G66" s="1"/>
      <c r="H66" s="135"/>
    </row>
    <row r="67" spans="2:8" x14ac:dyDescent="0.25">
      <c r="B67" s="70">
        <v>44</v>
      </c>
      <c r="C67" s="66"/>
      <c r="D67" s="67"/>
      <c r="E67" s="1"/>
      <c r="F67" s="68"/>
      <c r="G67" s="136"/>
      <c r="H67" s="135"/>
    </row>
    <row r="68" spans="2:8" x14ac:dyDescent="0.25">
      <c r="B68" s="70">
        <v>45</v>
      </c>
      <c r="C68" s="66"/>
      <c r="D68" s="67"/>
      <c r="E68" s="1"/>
      <c r="F68" s="68"/>
      <c r="G68" s="136"/>
      <c r="H68" s="135"/>
    </row>
    <row r="69" spans="2:8" x14ac:dyDescent="0.25">
      <c r="B69" s="4">
        <v>46</v>
      </c>
      <c r="C69" s="66"/>
      <c r="D69" s="67"/>
      <c r="E69" s="1"/>
      <c r="F69" s="1"/>
      <c r="G69" s="1"/>
      <c r="H69" s="135"/>
    </row>
    <row r="70" spans="2:8" x14ac:dyDescent="0.25">
      <c r="B70" s="70">
        <v>47</v>
      </c>
      <c r="C70" s="66"/>
      <c r="D70" s="67"/>
      <c r="E70" s="1"/>
      <c r="F70" s="1"/>
      <c r="G70" s="68"/>
      <c r="H70" s="135"/>
    </row>
    <row r="71" spans="2:8" x14ac:dyDescent="0.25">
      <c r="B71" s="70">
        <v>48</v>
      </c>
      <c r="C71" s="66"/>
      <c r="D71" s="67"/>
      <c r="E71" s="1"/>
      <c r="F71" s="1"/>
      <c r="G71" s="68"/>
      <c r="H71" s="135"/>
    </row>
    <row r="72" spans="2:8" x14ac:dyDescent="0.25">
      <c r="B72" s="70">
        <v>49</v>
      </c>
      <c r="C72" s="66"/>
      <c r="D72" s="67"/>
      <c r="E72" s="1"/>
      <c r="F72" s="1"/>
      <c r="G72" s="1"/>
      <c r="H72" s="135"/>
    </row>
    <row r="73" spans="2:8" x14ac:dyDescent="0.25">
      <c r="B73" s="70">
        <v>50</v>
      </c>
      <c r="C73" s="66"/>
      <c r="D73" s="67"/>
      <c r="E73" s="1"/>
      <c r="F73" s="1"/>
      <c r="G73" s="1"/>
      <c r="H73" s="135"/>
    </row>
    <row r="74" spans="2:8" x14ac:dyDescent="0.25">
      <c r="B74" s="4">
        <v>51</v>
      </c>
      <c r="C74" s="66"/>
      <c r="D74" s="67"/>
      <c r="E74" s="1"/>
      <c r="F74" s="1"/>
      <c r="G74" s="1"/>
      <c r="H74" s="135"/>
    </row>
    <row r="75" spans="2:8" x14ac:dyDescent="0.25">
      <c r="B75" s="70">
        <v>52</v>
      </c>
      <c r="C75" s="66"/>
      <c r="D75" s="67"/>
      <c r="E75" s="1"/>
      <c r="F75" s="1"/>
      <c r="G75" s="1"/>
      <c r="H75" s="135"/>
    </row>
    <row r="76" spans="2:8" x14ac:dyDescent="0.25">
      <c r="B76" s="70">
        <v>53</v>
      </c>
      <c r="C76" s="66"/>
      <c r="D76" s="67"/>
      <c r="E76" s="1"/>
      <c r="F76" s="1"/>
      <c r="G76" s="1"/>
      <c r="H76" s="135"/>
    </row>
    <row r="77" spans="2:8" x14ac:dyDescent="0.25">
      <c r="B77" s="70">
        <v>54</v>
      </c>
      <c r="C77" s="66"/>
      <c r="D77" s="67"/>
      <c r="E77" s="1"/>
      <c r="F77" s="1"/>
      <c r="G77" s="1"/>
      <c r="H77" s="135"/>
    </row>
    <row r="78" spans="2:8" x14ac:dyDescent="0.25">
      <c r="B78" s="70">
        <v>55</v>
      </c>
      <c r="C78" s="66"/>
      <c r="D78" s="67"/>
      <c r="E78" s="1"/>
      <c r="F78" s="1"/>
      <c r="G78" s="1"/>
      <c r="H78" s="135"/>
    </row>
    <row r="79" spans="2:8" x14ac:dyDescent="0.25">
      <c r="B79" s="4">
        <v>56</v>
      </c>
      <c r="C79" s="66"/>
      <c r="D79" s="67"/>
      <c r="E79" s="1"/>
      <c r="F79" s="1"/>
      <c r="G79" s="1"/>
      <c r="H79" s="135"/>
    </row>
    <row r="80" spans="2:8" x14ac:dyDescent="0.25">
      <c r="B80" s="70">
        <v>57</v>
      </c>
      <c r="C80" s="66"/>
      <c r="D80" s="67"/>
      <c r="E80" s="1"/>
      <c r="F80" s="68"/>
      <c r="G80" s="1"/>
      <c r="H80" s="135"/>
    </row>
    <row r="81" spans="2:8" x14ac:dyDescent="0.25">
      <c r="B81" s="70">
        <v>58</v>
      </c>
      <c r="C81" s="66"/>
      <c r="D81" s="67"/>
      <c r="E81" s="1"/>
      <c r="F81" s="68"/>
      <c r="G81" s="1"/>
      <c r="H81" s="135"/>
    </row>
    <row r="82" spans="2:8" x14ac:dyDescent="0.25">
      <c r="B82" s="70">
        <v>59</v>
      </c>
      <c r="C82" s="66"/>
      <c r="D82" s="67"/>
      <c r="E82" s="1"/>
      <c r="F82" s="1"/>
      <c r="G82" s="68"/>
      <c r="H82" s="135"/>
    </row>
    <row r="83" spans="2:8" x14ac:dyDescent="0.25">
      <c r="B83" s="70">
        <v>60</v>
      </c>
      <c r="C83" s="66"/>
      <c r="D83" s="67"/>
      <c r="E83" s="1"/>
      <c r="F83" s="1"/>
      <c r="G83" s="1"/>
      <c r="H83" s="135"/>
    </row>
    <row r="84" spans="2:8" x14ac:dyDescent="0.25">
      <c r="B84" s="4">
        <v>61</v>
      </c>
      <c r="C84" s="66"/>
      <c r="D84" s="67"/>
      <c r="E84" s="1"/>
      <c r="F84" s="1"/>
      <c r="G84" s="1"/>
      <c r="H84" s="135"/>
    </row>
    <row r="85" spans="2:8" x14ac:dyDescent="0.25">
      <c r="B85" s="70">
        <v>62</v>
      </c>
      <c r="D85" s="141"/>
      <c r="E85" s="1"/>
      <c r="F85" s="1"/>
      <c r="G85" s="1"/>
      <c r="H85" s="135"/>
    </row>
    <row r="86" spans="2:8" x14ac:dyDescent="0.25">
      <c r="B86" s="70">
        <v>63</v>
      </c>
      <c r="D86" s="141"/>
      <c r="E86" s="1"/>
      <c r="F86" s="1"/>
      <c r="G86" s="1"/>
      <c r="H86" s="135"/>
    </row>
    <row r="87" spans="2:8" x14ac:dyDescent="0.25">
      <c r="B87" s="70">
        <v>64</v>
      </c>
      <c r="D87" s="141"/>
      <c r="E87" s="1"/>
      <c r="F87" s="1"/>
      <c r="G87" s="1"/>
      <c r="H87" s="135"/>
    </row>
    <row r="88" spans="2:8" x14ac:dyDescent="0.25">
      <c r="B88" s="70">
        <v>65</v>
      </c>
      <c r="D88" s="141"/>
      <c r="E88" s="1"/>
      <c r="F88" s="1"/>
      <c r="G88" s="1"/>
      <c r="H88" s="135"/>
    </row>
    <row r="89" spans="2:8" x14ac:dyDescent="0.25">
      <c r="B89" s="70">
        <v>68</v>
      </c>
      <c r="C89" s="66"/>
      <c r="D89" s="67"/>
      <c r="E89" s="1"/>
      <c r="F89" s="68"/>
      <c r="G89" s="1"/>
      <c r="H89" s="135"/>
    </row>
    <row r="90" spans="2:8" x14ac:dyDescent="0.25">
      <c r="B90" s="70">
        <v>69</v>
      </c>
      <c r="C90" s="66"/>
      <c r="D90" s="67"/>
      <c r="E90" s="1"/>
      <c r="F90" s="68"/>
      <c r="G90" s="1"/>
      <c r="H90" s="135"/>
    </row>
    <row r="91" spans="2:8" x14ac:dyDescent="0.25">
      <c r="B91" s="4">
        <v>66</v>
      </c>
      <c r="C91" s="66"/>
      <c r="D91" s="67"/>
      <c r="E91" s="1"/>
      <c r="F91" s="1"/>
      <c r="G91" s="1"/>
      <c r="H91" s="135"/>
    </row>
    <row r="92" spans="2:8" x14ac:dyDescent="0.25">
      <c r="B92" s="70">
        <v>67</v>
      </c>
      <c r="C92" s="66"/>
      <c r="D92" s="67"/>
      <c r="E92" s="1"/>
      <c r="F92" s="1"/>
      <c r="G92" s="1"/>
      <c r="H92" s="135"/>
    </row>
    <row r="93" spans="2:8" x14ac:dyDescent="0.25">
      <c r="B93" s="70">
        <v>70</v>
      </c>
      <c r="C93" s="66"/>
      <c r="D93" s="67"/>
      <c r="E93" s="1"/>
      <c r="F93" s="68"/>
      <c r="G93" s="1"/>
      <c r="H93" s="135"/>
    </row>
    <row r="94" spans="2:8" x14ac:dyDescent="0.25">
      <c r="B94" s="4">
        <v>71</v>
      </c>
      <c r="C94" s="66"/>
      <c r="D94" s="67"/>
      <c r="E94" s="1"/>
      <c r="F94" s="68"/>
      <c r="G94" s="1"/>
      <c r="H94" s="135"/>
    </row>
    <row r="95" spans="2:8" x14ac:dyDescent="0.25">
      <c r="B95" s="70">
        <v>72</v>
      </c>
      <c r="C95" s="66"/>
      <c r="D95" s="67"/>
      <c r="E95" s="1"/>
      <c r="F95" s="1"/>
      <c r="G95" s="1"/>
      <c r="H95" s="135"/>
    </row>
    <row r="96" spans="2:8" x14ac:dyDescent="0.25">
      <c r="B96" s="70">
        <v>73</v>
      </c>
      <c r="C96" s="66"/>
      <c r="D96" s="67"/>
      <c r="E96" s="1"/>
      <c r="F96" s="1"/>
      <c r="G96" s="1"/>
      <c r="H96" s="135"/>
    </row>
    <row r="97" spans="2:8" x14ac:dyDescent="0.25">
      <c r="B97" s="70">
        <v>74</v>
      </c>
      <c r="C97" s="66"/>
      <c r="D97" s="67"/>
      <c r="E97" s="1"/>
      <c r="F97" s="1"/>
      <c r="G97" s="1"/>
      <c r="H97" s="135"/>
    </row>
    <row r="98" spans="2:8" x14ac:dyDescent="0.25">
      <c r="B98" s="70">
        <v>75</v>
      </c>
      <c r="C98" s="66"/>
      <c r="D98" s="67"/>
      <c r="E98" s="1"/>
      <c r="F98" s="1"/>
      <c r="G98" s="1"/>
      <c r="H98" s="135"/>
    </row>
    <row r="99" spans="2:8" x14ac:dyDescent="0.25">
      <c r="B99" s="4">
        <v>76</v>
      </c>
      <c r="C99" s="66"/>
      <c r="D99" s="67"/>
      <c r="E99" s="1"/>
      <c r="F99" s="1"/>
      <c r="G99" s="1"/>
      <c r="H99" s="135"/>
    </row>
    <row r="100" spans="2:8" x14ac:dyDescent="0.25">
      <c r="B100" s="70">
        <v>77</v>
      </c>
      <c r="C100" s="66"/>
      <c r="D100" s="67"/>
      <c r="E100" s="1"/>
      <c r="F100" s="1"/>
      <c r="G100" s="1"/>
      <c r="H100" s="135"/>
    </row>
    <row r="101" spans="2:8" x14ac:dyDescent="0.25">
      <c r="B101" s="70">
        <v>78</v>
      </c>
      <c r="C101" s="66"/>
      <c r="D101" s="67"/>
      <c r="E101" s="1"/>
      <c r="F101" s="68"/>
      <c r="G101" s="1"/>
      <c r="H101" s="135"/>
    </row>
    <row r="102" spans="2:8" x14ac:dyDescent="0.25">
      <c r="B102" s="70">
        <v>79</v>
      </c>
      <c r="C102" s="66"/>
      <c r="D102" s="67"/>
      <c r="E102" s="1"/>
      <c r="F102" s="68"/>
      <c r="G102" s="1"/>
      <c r="H102" s="135"/>
    </row>
    <row r="103" spans="2:8" x14ac:dyDescent="0.25">
      <c r="B103" s="70">
        <v>80</v>
      </c>
      <c r="C103" s="66"/>
      <c r="D103" s="67"/>
      <c r="E103" s="1"/>
      <c r="F103" s="1"/>
      <c r="G103" s="1"/>
      <c r="H103" s="135"/>
    </row>
    <row r="104" spans="2:8" x14ac:dyDescent="0.25">
      <c r="B104" s="4">
        <v>81</v>
      </c>
      <c r="C104" s="66"/>
      <c r="D104" s="67"/>
      <c r="E104" s="1"/>
      <c r="F104" s="1"/>
      <c r="G104" s="1"/>
      <c r="H104" s="135"/>
    </row>
    <row r="105" spans="2:8" x14ac:dyDescent="0.25">
      <c r="B105" s="70">
        <v>82</v>
      </c>
      <c r="C105" s="66"/>
      <c r="D105" s="67"/>
      <c r="E105" s="1"/>
      <c r="F105" s="1"/>
      <c r="G105" s="1"/>
      <c r="H105" s="135"/>
    </row>
    <row r="106" spans="2:8" x14ac:dyDescent="0.25">
      <c r="B106" s="70">
        <v>83</v>
      </c>
      <c r="C106" s="66"/>
      <c r="D106" s="67"/>
      <c r="E106" s="1"/>
      <c r="F106" s="1"/>
      <c r="G106" s="1"/>
      <c r="H106" s="135"/>
    </row>
    <row r="107" spans="2:8" x14ac:dyDescent="0.25">
      <c r="B107" s="70">
        <v>84</v>
      </c>
      <c r="C107" s="66"/>
      <c r="D107" s="67"/>
      <c r="E107" s="1"/>
      <c r="F107" s="1"/>
      <c r="G107" s="1"/>
      <c r="H107" s="135"/>
    </row>
    <row r="108" spans="2:8" x14ac:dyDescent="0.25">
      <c r="B108" s="70">
        <v>85</v>
      </c>
      <c r="C108" s="66"/>
      <c r="D108" s="67"/>
      <c r="E108" s="1"/>
      <c r="F108" s="68"/>
      <c r="G108" s="1"/>
      <c r="H108" s="135"/>
    </row>
    <row r="109" spans="2:8" x14ac:dyDescent="0.25">
      <c r="B109" s="4">
        <v>86</v>
      </c>
      <c r="C109" s="66"/>
      <c r="D109" s="67"/>
      <c r="E109" s="1"/>
      <c r="F109" s="68"/>
      <c r="G109" s="1"/>
      <c r="H109" s="135"/>
    </row>
    <row r="110" spans="2:8" x14ac:dyDescent="0.25">
      <c r="B110" s="70">
        <v>87</v>
      </c>
      <c r="C110" s="66"/>
      <c r="D110" s="67"/>
      <c r="E110" s="1"/>
      <c r="F110" s="1"/>
      <c r="G110" s="1"/>
      <c r="H110" s="135"/>
    </row>
    <row r="111" spans="2:8" x14ac:dyDescent="0.25">
      <c r="B111" s="70">
        <v>88</v>
      </c>
      <c r="C111" s="66"/>
      <c r="D111" s="67"/>
      <c r="E111" s="1"/>
      <c r="F111" s="1"/>
      <c r="G111" s="1"/>
      <c r="H111" s="5"/>
    </row>
    <row r="112" spans="2:8" x14ac:dyDescent="0.25">
      <c r="B112" s="70">
        <v>89</v>
      </c>
      <c r="C112" s="66"/>
      <c r="D112" s="67"/>
      <c r="E112" s="1"/>
      <c r="F112" s="1"/>
      <c r="G112" s="1"/>
      <c r="H112" s="5"/>
    </row>
    <row r="113" spans="2:8" x14ac:dyDescent="0.25">
      <c r="B113" s="70">
        <v>90</v>
      </c>
      <c r="C113" s="66"/>
      <c r="D113" s="67"/>
      <c r="E113" s="1"/>
      <c r="F113" s="1"/>
      <c r="G113" s="1"/>
      <c r="H113" s="5"/>
    </row>
    <row r="114" spans="2:8" x14ac:dyDescent="0.25">
      <c r="B114" s="4">
        <v>91</v>
      </c>
      <c r="C114" s="66"/>
      <c r="D114" s="67"/>
      <c r="E114" s="1"/>
      <c r="F114" s="1"/>
      <c r="G114" s="1"/>
      <c r="H114" s="5"/>
    </row>
    <row r="115" spans="2:8" x14ac:dyDescent="0.25">
      <c r="B115" s="70">
        <v>92</v>
      </c>
      <c r="C115" s="66"/>
      <c r="D115" s="67"/>
      <c r="E115" s="1"/>
      <c r="F115" s="1"/>
      <c r="G115" s="1"/>
      <c r="H115" s="5"/>
    </row>
    <row r="116" spans="2:8" x14ac:dyDescent="0.25">
      <c r="B116" s="70">
        <v>93</v>
      </c>
      <c r="C116" s="66"/>
      <c r="D116" s="67"/>
      <c r="E116" s="1"/>
      <c r="F116" s="1"/>
      <c r="G116" s="1"/>
      <c r="H116" s="5"/>
    </row>
    <row r="117" spans="2:8" x14ac:dyDescent="0.25">
      <c r="B117" s="70">
        <v>94</v>
      </c>
      <c r="C117" s="66"/>
      <c r="D117" s="67"/>
      <c r="E117" s="1"/>
      <c r="F117" s="1"/>
      <c r="G117" s="1"/>
      <c r="H117" s="5"/>
    </row>
    <row r="118" spans="2:8" x14ac:dyDescent="0.25">
      <c r="B118" s="70">
        <v>95</v>
      </c>
      <c r="C118" s="66"/>
      <c r="D118" s="67"/>
      <c r="E118" s="1"/>
      <c r="F118" s="1"/>
      <c r="G118" s="1"/>
      <c r="H118" s="5"/>
    </row>
    <row r="119" spans="2:8" x14ac:dyDescent="0.25">
      <c r="B119" s="4">
        <v>96</v>
      </c>
      <c r="C119" s="66"/>
      <c r="D119" s="67"/>
      <c r="E119" s="1"/>
      <c r="F119" s="1"/>
      <c r="G119" s="1"/>
      <c r="H119" s="5"/>
    </row>
    <row r="120" spans="2:8" x14ac:dyDescent="0.25">
      <c r="B120" s="70">
        <v>97</v>
      </c>
      <c r="C120" s="66"/>
      <c r="D120" s="67"/>
      <c r="E120" s="1"/>
      <c r="F120" s="1"/>
      <c r="G120" s="1"/>
      <c r="H120" s="5"/>
    </row>
    <row r="121" spans="2:8" x14ac:dyDescent="0.25">
      <c r="B121" s="70">
        <v>98</v>
      </c>
      <c r="C121" s="66"/>
      <c r="D121" s="67"/>
      <c r="E121" s="1"/>
      <c r="F121" s="1"/>
      <c r="G121" s="1"/>
      <c r="H121" s="5"/>
    </row>
    <row r="122" spans="2:8" x14ac:dyDescent="0.25">
      <c r="B122" s="70">
        <v>99</v>
      </c>
      <c r="C122" s="66"/>
      <c r="D122" s="67"/>
      <c r="E122" s="1"/>
      <c r="F122" s="1"/>
      <c r="G122" s="1"/>
      <c r="H122" s="5"/>
    </row>
    <row r="123" spans="2:8" x14ac:dyDescent="0.25">
      <c r="B123" s="70">
        <v>100</v>
      </c>
      <c r="C123" s="66"/>
      <c r="D123" s="67"/>
      <c r="E123" s="1"/>
      <c r="F123" s="1"/>
      <c r="G123" s="1"/>
      <c r="H123" s="5"/>
    </row>
    <row r="124" spans="2:8" x14ac:dyDescent="0.25">
      <c r="B124" s="4">
        <v>101</v>
      </c>
      <c r="C124" s="66"/>
      <c r="D124" s="67"/>
      <c r="E124" s="1"/>
      <c r="F124" s="1"/>
      <c r="G124" s="1"/>
      <c r="H124" s="5"/>
    </row>
    <row r="125" spans="2:8" x14ac:dyDescent="0.25">
      <c r="B125" s="70">
        <v>102</v>
      </c>
      <c r="C125" s="66"/>
      <c r="D125" s="67"/>
      <c r="E125" s="1"/>
      <c r="F125" s="1"/>
      <c r="G125" s="1"/>
      <c r="H125" s="5"/>
    </row>
    <row r="126" spans="2:8" x14ac:dyDescent="0.25">
      <c r="B126" s="70">
        <v>103</v>
      </c>
      <c r="C126" s="66"/>
      <c r="D126" s="67"/>
      <c r="E126" s="1"/>
      <c r="F126" s="1"/>
      <c r="G126" s="1"/>
      <c r="H126" s="5"/>
    </row>
    <row r="127" spans="2:8" x14ac:dyDescent="0.25">
      <c r="B127" s="70">
        <v>104</v>
      </c>
      <c r="C127" s="66"/>
      <c r="D127" s="67"/>
      <c r="E127" s="1"/>
      <c r="F127" s="1"/>
      <c r="G127" s="1"/>
      <c r="H127" s="5"/>
    </row>
    <row r="128" spans="2:8" x14ac:dyDescent="0.25">
      <c r="B128" s="70">
        <v>105</v>
      </c>
      <c r="C128" s="66"/>
      <c r="D128" s="67"/>
      <c r="E128" s="1"/>
      <c r="F128" s="1"/>
      <c r="G128" s="1"/>
      <c r="H128" s="5"/>
    </row>
    <row r="129" spans="2:8" x14ac:dyDescent="0.25">
      <c r="B129" s="4">
        <v>106</v>
      </c>
      <c r="C129" s="66"/>
      <c r="D129" s="67"/>
      <c r="E129" s="1"/>
      <c r="F129" s="1"/>
      <c r="G129" s="1"/>
      <c r="H129" s="5"/>
    </row>
    <row r="130" spans="2:8" x14ac:dyDescent="0.25">
      <c r="B130" s="70">
        <v>107</v>
      </c>
      <c r="C130" s="66"/>
      <c r="D130" s="67"/>
      <c r="E130" s="1"/>
      <c r="F130" s="1"/>
      <c r="G130" s="1"/>
      <c r="H130" s="5"/>
    </row>
    <row r="131" spans="2:8" x14ac:dyDescent="0.25">
      <c r="B131" s="70">
        <v>108</v>
      </c>
      <c r="C131" s="66"/>
      <c r="D131" s="67"/>
      <c r="E131" s="1"/>
      <c r="F131" s="1"/>
      <c r="G131" s="1"/>
      <c r="H131" s="5"/>
    </row>
    <row r="132" spans="2:8" x14ac:dyDescent="0.25">
      <c r="B132" s="70">
        <v>109</v>
      </c>
      <c r="C132" s="66"/>
      <c r="D132" s="67"/>
      <c r="E132" s="1"/>
      <c r="F132" s="1"/>
      <c r="G132" s="1"/>
      <c r="H132" s="5"/>
    </row>
    <row r="133" spans="2:8" x14ac:dyDescent="0.25">
      <c r="B133" s="70">
        <v>110</v>
      </c>
      <c r="C133" s="66"/>
      <c r="D133" s="67"/>
      <c r="E133" s="1"/>
      <c r="F133" s="1"/>
      <c r="G133" s="1"/>
      <c r="H133" s="5"/>
    </row>
    <row r="134" spans="2:8" x14ac:dyDescent="0.25">
      <c r="B134" s="4">
        <v>111</v>
      </c>
      <c r="C134" s="66"/>
      <c r="D134" s="67"/>
      <c r="E134" s="1"/>
      <c r="F134" s="1"/>
      <c r="G134" s="1"/>
      <c r="H134" s="5"/>
    </row>
    <row r="135" spans="2:8" x14ac:dyDescent="0.25">
      <c r="B135" s="70">
        <v>112</v>
      </c>
      <c r="C135" s="66"/>
      <c r="D135" s="67"/>
      <c r="E135" s="1"/>
      <c r="F135" s="1"/>
      <c r="G135" s="1"/>
      <c r="H135" s="5"/>
    </row>
    <row r="136" spans="2:8" x14ac:dyDescent="0.25">
      <c r="B136" s="70">
        <v>113</v>
      </c>
      <c r="C136" s="66"/>
      <c r="D136" s="67"/>
      <c r="E136" s="1"/>
      <c r="F136" s="1"/>
      <c r="G136" s="1"/>
      <c r="H136" s="5"/>
    </row>
    <row r="137" spans="2:8" x14ac:dyDescent="0.25">
      <c r="B137" s="70">
        <v>114</v>
      </c>
      <c r="C137" s="66"/>
      <c r="D137" s="67"/>
      <c r="E137" s="1"/>
      <c r="F137" s="1"/>
      <c r="G137" s="1"/>
      <c r="H137" s="5"/>
    </row>
    <row r="138" spans="2:8" x14ac:dyDescent="0.25">
      <c r="B138" s="70">
        <v>115</v>
      </c>
      <c r="C138" s="66"/>
      <c r="D138" s="67"/>
      <c r="E138" s="1"/>
      <c r="F138" s="1"/>
      <c r="G138" s="1"/>
      <c r="H138" s="5"/>
    </row>
    <row r="139" spans="2:8" x14ac:dyDescent="0.25">
      <c r="B139" s="4">
        <v>116</v>
      </c>
      <c r="C139" s="66"/>
      <c r="D139" s="67"/>
      <c r="E139" s="1"/>
      <c r="F139" s="1"/>
      <c r="G139" s="1"/>
      <c r="H139" s="5"/>
    </row>
    <row r="140" spans="2:8" x14ac:dyDescent="0.25">
      <c r="B140" s="70">
        <v>117</v>
      </c>
      <c r="C140" s="66"/>
      <c r="D140" s="67"/>
      <c r="E140" s="1"/>
      <c r="F140" s="1"/>
      <c r="G140" s="1"/>
      <c r="H140" s="5"/>
    </row>
    <row r="141" spans="2:8" x14ac:dyDescent="0.25">
      <c r="B141" s="70">
        <v>118</v>
      </c>
      <c r="C141" s="66"/>
      <c r="D141" s="67"/>
      <c r="E141" s="1"/>
      <c r="F141" s="1"/>
      <c r="G141" s="1"/>
      <c r="H141" s="5"/>
    </row>
    <row r="142" spans="2:8" x14ac:dyDescent="0.25">
      <c r="B142" s="70">
        <v>119</v>
      </c>
      <c r="C142" s="66"/>
      <c r="D142" s="67"/>
      <c r="E142" s="1"/>
      <c r="F142" s="1"/>
      <c r="G142" s="1"/>
      <c r="H142" s="5"/>
    </row>
    <row r="143" spans="2:8" x14ac:dyDescent="0.25">
      <c r="B143" s="70">
        <v>120</v>
      </c>
      <c r="C143" s="66"/>
      <c r="D143" s="67"/>
      <c r="E143" s="1"/>
      <c r="F143" s="1"/>
      <c r="G143" s="1"/>
      <c r="H143" s="5"/>
    </row>
    <row r="144" spans="2:8" x14ac:dyDescent="0.25">
      <c r="B144" s="4">
        <v>121</v>
      </c>
      <c r="C144" s="66"/>
      <c r="D144" s="67"/>
      <c r="E144" s="1"/>
      <c r="F144" s="1"/>
      <c r="G144" s="1"/>
      <c r="H144" s="5"/>
    </row>
    <row r="145" spans="2:8" x14ac:dyDescent="0.25">
      <c r="B145" s="70">
        <v>122</v>
      </c>
      <c r="C145" s="66"/>
      <c r="D145" s="67"/>
      <c r="E145" s="1"/>
      <c r="F145" s="1"/>
      <c r="G145" s="1"/>
      <c r="H145" s="5"/>
    </row>
    <row r="146" spans="2:8" x14ac:dyDescent="0.25">
      <c r="B146" s="70">
        <v>123</v>
      </c>
      <c r="C146" s="66"/>
      <c r="D146" s="67"/>
      <c r="E146" s="1"/>
      <c r="F146" s="1"/>
      <c r="G146" s="1"/>
      <c r="H146" s="5"/>
    </row>
    <row r="147" spans="2:8" x14ac:dyDescent="0.25">
      <c r="B147" s="70">
        <v>124</v>
      </c>
      <c r="C147" s="66"/>
      <c r="D147" s="67"/>
      <c r="E147" s="1"/>
      <c r="F147" s="1"/>
      <c r="G147" s="1"/>
      <c r="H147" s="5"/>
    </row>
    <row r="148" spans="2:8" x14ac:dyDescent="0.25">
      <c r="B148" s="70">
        <v>125</v>
      </c>
      <c r="C148" s="66"/>
      <c r="D148" s="67"/>
      <c r="E148" s="1"/>
      <c r="F148" s="1"/>
      <c r="G148" s="1"/>
      <c r="H148" s="5"/>
    </row>
    <row r="149" spans="2:8" x14ac:dyDescent="0.25">
      <c r="B149" s="4">
        <v>126</v>
      </c>
      <c r="C149" s="66"/>
      <c r="D149" s="67"/>
      <c r="E149" s="1"/>
      <c r="F149" s="1"/>
      <c r="G149" s="1"/>
      <c r="H149" s="5"/>
    </row>
    <row r="150" spans="2:8" x14ac:dyDescent="0.25">
      <c r="B150" s="70">
        <v>127</v>
      </c>
      <c r="C150" s="66"/>
      <c r="D150" s="67"/>
      <c r="E150" s="1"/>
      <c r="F150" s="1"/>
      <c r="G150" s="1"/>
      <c r="H150" s="5"/>
    </row>
    <row r="151" spans="2:8" x14ac:dyDescent="0.25">
      <c r="B151" s="70">
        <v>128</v>
      </c>
      <c r="C151" s="66"/>
      <c r="D151" s="67"/>
      <c r="E151" s="1"/>
      <c r="F151" s="1"/>
      <c r="G151" s="1"/>
      <c r="H151" s="5"/>
    </row>
    <row r="152" spans="2:8" x14ac:dyDescent="0.25">
      <c r="B152" s="70">
        <v>129</v>
      </c>
      <c r="C152" s="66"/>
      <c r="D152" s="67"/>
      <c r="E152" s="1"/>
      <c r="F152" s="1"/>
      <c r="G152" s="1"/>
      <c r="H152" s="5"/>
    </row>
    <row r="153" spans="2:8" x14ac:dyDescent="0.25">
      <c r="B153" s="70">
        <v>130</v>
      </c>
      <c r="C153" s="66"/>
      <c r="D153" s="67"/>
      <c r="E153" s="1"/>
      <c r="F153" s="1"/>
      <c r="G153" s="1"/>
      <c r="H153" s="5"/>
    </row>
    <row r="154" spans="2:8" x14ac:dyDescent="0.25">
      <c r="B154" s="4">
        <v>131</v>
      </c>
      <c r="C154" s="66"/>
      <c r="D154" s="67"/>
      <c r="E154" s="1"/>
      <c r="F154" s="1"/>
      <c r="G154" s="1"/>
      <c r="H154" s="5"/>
    </row>
    <row r="155" spans="2:8" x14ac:dyDescent="0.25">
      <c r="B155" s="70">
        <v>132</v>
      </c>
      <c r="C155" s="66"/>
      <c r="D155" s="67"/>
      <c r="E155" s="1"/>
      <c r="F155" s="1"/>
      <c r="G155" s="1"/>
      <c r="H155" s="5"/>
    </row>
    <row r="156" spans="2:8" x14ac:dyDescent="0.25">
      <c r="B156" s="70">
        <v>133</v>
      </c>
      <c r="C156" s="66"/>
      <c r="D156" s="67"/>
      <c r="E156" s="1"/>
      <c r="F156" s="1"/>
      <c r="G156" s="1"/>
      <c r="H156" s="5"/>
    </row>
    <row r="157" spans="2:8" x14ac:dyDescent="0.25">
      <c r="B157" s="70">
        <v>134</v>
      </c>
      <c r="C157" s="66"/>
      <c r="D157" s="67"/>
      <c r="E157" s="1"/>
      <c r="F157" s="1"/>
      <c r="G157" s="1"/>
      <c r="H157" s="5"/>
    </row>
    <row r="158" spans="2:8" x14ac:dyDescent="0.25">
      <c r="B158" s="70">
        <v>135</v>
      </c>
      <c r="C158" s="66"/>
      <c r="D158" s="67"/>
      <c r="E158" s="1"/>
      <c r="F158" s="1"/>
      <c r="G158" s="1"/>
      <c r="H158" s="5"/>
    </row>
    <row r="159" spans="2:8" x14ac:dyDescent="0.25">
      <c r="B159" s="4">
        <v>136</v>
      </c>
      <c r="C159" s="66"/>
      <c r="D159" s="67"/>
      <c r="E159" s="1"/>
      <c r="F159" s="1"/>
      <c r="G159" s="1"/>
      <c r="H159" s="5"/>
    </row>
    <row r="160" spans="2:8" x14ac:dyDescent="0.25">
      <c r="B160" s="70">
        <v>137</v>
      </c>
      <c r="C160" s="66"/>
      <c r="D160" s="67"/>
      <c r="E160" s="1"/>
      <c r="F160" s="1"/>
      <c r="G160" s="1"/>
      <c r="H160" s="5"/>
    </row>
    <row r="161" spans="2:10" x14ac:dyDescent="0.25">
      <c r="B161" s="70">
        <v>138</v>
      </c>
      <c r="C161" s="66"/>
      <c r="D161" s="67"/>
      <c r="E161" s="1"/>
      <c r="F161" s="1"/>
      <c r="G161" s="1"/>
      <c r="H161" s="5"/>
    </row>
    <row r="162" spans="2:10" x14ac:dyDescent="0.25">
      <c r="B162" s="70">
        <v>139</v>
      </c>
      <c r="C162" s="66"/>
      <c r="D162" s="67"/>
      <c r="E162" s="1"/>
      <c r="F162" s="1"/>
      <c r="G162" s="1"/>
      <c r="H162" s="5"/>
    </row>
    <row r="163" spans="2:10" x14ac:dyDescent="0.25">
      <c r="B163" s="4">
        <v>140</v>
      </c>
      <c r="C163" s="66"/>
      <c r="D163" s="67"/>
      <c r="E163" s="1"/>
      <c r="F163" s="1"/>
      <c r="G163" s="1"/>
      <c r="H163" s="5"/>
    </row>
    <row r="164" spans="2:10" x14ac:dyDescent="0.25">
      <c r="B164" s="70">
        <v>141</v>
      </c>
      <c r="C164" s="66"/>
      <c r="D164" s="67"/>
      <c r="E164" s="1"/>
      <c r="F164" s="1"/>
      <c r="G164" s="1"/>
      <c r="H164" s="5"/>
    </row>
    <row r="165" spans="2:10" x14ac:dyDescent="0.25">
      <c r="B165" s="70">
        <v>142</v>
      </c>
      <c r="C165" s="66"/>
      <c r="D165" s="67"/>
      <c r="E165" s="1"/>
      <c r="F165" s="1"/>
      <c r="G165" s="1"/>
      <c r="H165" s="5"/>
    </row>
    <row r="166" spans="2:10" x14ac:dyDescent="0.25">
      <c r="B166" s="70">
        <v>143</v>
      </c>
      <c r="C166" s="66"/>
      <c r="D166" s="67"/>
      <c r="E166" s="1"/>
      <c r="F166" s="1"/>
      <c r="G166" s="1"/>
      <c r="H166" s="5"/>
    </row>
    <row r="167" spans="2:10" x14ac:dyDescent="0.25">
      <c r="B167" s="70">
        <v>144</v>
      </c>
      <c r="C167" s="66"/>
      <c r="D167" s="67"/>
      <c r="E167" s="1"/>
      <c r="F167" s="1"/>
      <c r="G167" s="1"/>
      <c r="H167" s="5"/>
    </row>
    <row r="168" spans="2:10" x14ac:dyDescent="0.25">
      <c r="B168" s="4">
        <v>145</v>
      </c>
      <c r="C168" s="66"/>
      <c r="D168" s="67"/>
      <c r="E168" s="1"/>
      <c r="F168" s="1"/>
      <c r="G168" s="1"/>
      <c r="H168" s="5"/>
      <c r="I168" s="1"/>
      <c r="J168" s="1"/>
    </row>
    <row r="169" spans="2:10" x14ac:dyDescent="0.25">
      <c r="B169" s="70">
        <v>146</v>
      </c>
      <c r="C169" s="66"/>
      <c r="D169" s="67"/>
      <c r="E169" s="1"/>
      <c r="F169" s="1"/>
      <c r="G169" s="1"/>
      <c r="H169" s="5"/>
    </row>
    <row r="170" spans="2:10" x14ac:dyDescent="0.25">
      <c r="B170" s="70">
        <v>147</v>
      </c>
      <c r="C170" s="66"/>
      <c r="D170" s="67"/>
      <c r="E170" s="1"/>
      <c r="F170" s="1"/>
      <c r="G170" s="1"/>
      <c r="H170" s="5"/>
    </row>
    <row r="171" spans="2:10" x14ac:dyDescent="0.25">
      <c r="B171" s="70">
        <v>148</v>
      </c>
      <c r="C171" s="66"/>
      <c r="D171" s="67"/>
      <c r="E171" s="1"/>
      <c r="F171" s="1"/>
      <c r="G171" s="1"/>
      <c r="H171" s="5"/>
    </row>
    <row r="172" spans="2:10" x14ac:dyDescent="0.25">
      <c r="B172" s="70">
        <v>149</v>
      </c>
      <c r="C172" s="66"/>
      <c r="D172" s="67"/>
      <c r="E172" s="1"/>
      <c r="F172" s="1"/>
      <c r="G172" s="1"/>
      <c r="H172" s="5"/>
    </row>
    <row r="173" spans="2:10" ht="15.75" thickBot="1" x14ac:dyDescent="0.3">
      <c r="B173" s="8">
        <v>150</v>
      </c>
      <c r="C173" s="133"/>
      <c r="D173" s="134"/>
      <c r="E173" s="9"/>
      <c r="F173" s="9"/>
      <c r="G173" s="9"/>
      <c r="H173" s="10"/>
    </row>
  </sheetData>
  <mergeCells count="6">
    <mergeCell ref="J42:N42"/>
    <mergeCell ref="B1:C1"/>
    <mergeCell ref="B15:H15"/>
    <mergeCell ref="J15:P15"/>
    <mergeCell ref="B22:H22"/>
    <mergeCell ref="J35:N35"/>
  </mergeCells>
  <conditionalFormatting sqref="K39:N40">
    <cfRule type="cellIs" dxfId="104" priority="1" operator="greaterThan">
      <formula>0</formula>
    </cfRule>
    <cfRule type="cellIs" dxfId="103" priority="2" operator="lessThan">
      <formula>0</formula>
    </cfRule>
  </conditionalFormatting>
  <conditionalFormatting sqref="K46:N47">
    <cfRule type="cellIs" dxfId="102" priority="3" operator="greaterThan">
      <formula>0</formula>
    </cfRule>
    <cfRule type="cellIs" dxfId="101" priority="4" operator="lessThan">
      <formula>0</formula>
    </cfRule>
  </conditionalFormatting>
  <dataValidations count="1">
    <dataValidation type="list" allowBlank="1" showInputMessage="1" showErrorMessage="1" sqref="C3" xr:uid="{FD9721E6-4F0A-46B7-BB55-91BADBA4BCBD}">
      <formula1>"enero,febrero,marzo,abril,mayo,junio,julio,agosto,septiembre,octubre,noviembre,diciembre"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9B4480-F0D5-48C2-A2C1-CBC86FA47DA1}">
          <x14:formula1>
            <xm:f>'Datos - Gastos'!$C$2:$C$12</xm:f>
          </x14:formula1>
          <xm:sqref>E17:E19 E24:E98 E101:E106 E108:E109</xm:sqref>
        </x14:dataValidation>
        <x14:dataValidation type="list" allowBlank="1" showInputMessage="1" showErrorMessage="1" xr:uid="{CDD651DE-015B-44CA-B63E-4A035AD5BB86}">
          <x14:formula1>
            <xm:f>'Datos - Gastos'!$A$2:$A$29</xm:f>
          </x14:formula1>
          <xm:sqref>F17:F19 F96:F1048576 F89:F94 F24:F85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52EA-6578-4815-8F82-82E27A1708DD}">
  <sheetPr>
    <tabColor theme="5" tint="0.79998168889431442"/>
  </sheetPr>
  <dimension ref="B1:Y173"/>
  <sheetViews>
    <sheetView showGridLines="0" topLeftCell="E4" zoomScaleNormal="100" workbookViewId="0">
      <selection activeCell="L27" sqref="L27"/>
    </sheetView>
  </sheetViews>
  <sheetFormatPr baseColWidth="10" defaultRowHeight="15" x14ac:dyDescent="0.25"/>
  <cols>
    <col min="1" max="1" width="2.42578125" customWidth="1"/>
    <col min="2" max="2" width="16.28515625" bestFit="1" customWidth="1"/>
    <col min="3" max="3" width="14.5703125" bestFit="1" customWidth="1"/>
    <col min="4" max="4" width="15.5703125" bestFit="1" customWidth="1"/>
    <col min="5" max="5" width="30.5703125" bestFit="1" customWidth="1"/>
    <col min="6" max="6" width="29.28515625" bestFit="1" customWidth="1"/>
    <col min="7" max="7" width="46" bestFit="1" customWidth="1"/>
    <col min="8" max="8" width="11" style="1" customWidth="1"/>
    <col min="9" max="9" width="6.140625" customWidth="1"/>
    <col min="10" max="10" width="29.28515625" bestFit="1" customWidth="1"/>
    <col min="11" max="11" width="18.42578125" style="1" bestFit="1" customWidth="1"/>
    <col min="12" max="12" width="19" style="1" bestFit="1" customWidth="1"/>
    <col min="13" max="13" width="19.85546875" style="1" bestFit="1" customWidth="1"/>
    <col min="14" max="14" width="29.28515625" style="1" bestFit="1" customWidth="1"/>
    <col min="15" max="15" width="20.85546875" customWidth="1"/>
    <col min="16" max="16" width="18.5703125" customWidth="1"/>
    <col min="17" max="17" width="5" customWidth="1"/>
    <col min="18" max="18" width="27.140625" bestFit="1" customWidth="1"/>
    <col min="19" max="19" width="18.42578125" bestFit="1" customWidth="1"/>
    <col min="20" max="20" width="19" bestFit="1" customWidth="1"/>
    <col min="21" max="21" width="19.85546875" bestFit="1" customWidth="1"/>
    <col min="22" max="22" width="20.42578125" bestFit="1" customWidth="1"/>
    <col min="23" max="23" width="29.7109375" customWidth="1"/>
  </cols>
  <sheetData>
    <row r="1" spans="2:25" ht="15.75" thickBot="1" x14ac:dyDescent="0.3">
      <c r="B1" s="248" t="s">
        <v>155</v>
      </c>
      <c r="C1" s="249"/>
      <c r="J1" s="116" t="s">
        <v>119</v>
      </c>
      <c r="K1" s="117" t="s">
        <v>111</v>
      </c>
      <c r="L1" s="118" t="s">
        <v>112</v>
      </c>
      <c r="M1"/>
      <c r="N1" s="116" t="s">
        <v>120</v>
      </c>
      <c r="O1" s="117" t="s">
        <v>111</v>
      </c>
      <c r="P1" s="118" t="s">
        <v>112</v>
      </c>
      <c r="Q1" s="1"/>
      <c r="R1" s="116" t="s">
        <v>198</v>
      </c>
      <c r="S1" s="117" t="s">
        <v>111</v>
      </c>
      <c r="T1" s="118" t="s">
        <v>112</v>
      </c>
      <c r="Y1" s="126"/>
    </row>
    <row r="2" spans="2:25" x14ac:dyDescent="0.25">
      <c r="B2" s="114" t="s">
        <v>124</v>
      </c>
      <c r="C2" s="74">
        <v>2026</v>
      </c>
      <c r="J2" s="120" t="s">
        <v>110</v>
      </c>
      <c r="K2" s="79">
        <f>'Gastos octubre'!O2</f>
        <v>10000</v>
      </c>
      <c r="L2" s="121">
        <f>K2*D7</f>
        <v>0</v>
      </c>
      <c r="M2"/>
      <c r="N2" s="120" t="s">
        <v>110</v>
      </c>
      <c r="O2" s="79">
        <f>K2+SUMIF($E$24:$E$173,$N2,$C$24:$C$173)+SUMIF($E$24:$E$173,$N2,$D$24:$D$173)</f>
        <v>10000</v>
      </c>
      <c r="P2" s="121">
        <f>O2*$D$7</f>
        <v>0</v>
      </c>
      <c r="Q2" s="1"/>
      <c r="R2" s="120" t="s">
        <v>110</v>
      </c>
      <c r="S2" s="79">
        <f t="shared" ref="S2:S10" si="0">IFERROR(IF(O2&gt;K2,O2-K2,K2-O2),0)</f>
        <v>0</v>
      </c>
      <c r="T2" s="121">
        <f t="shared" ref="T2:T10" si="1">IFERROR(IF(P2&gt;L2,P2-L2,L2-P2),0)</f>
        <v>0</v>
      </c>
    </row>
    <row r="3" spans="2:25" x14ac:dyDescent="0.25">
      <c r="B3" s="114" t="s">
        <v>125</v>
      </c>
      <c r="C3" s="75" t="s">
        <v>19</v>
      </c>
      <c r="J3" s="120" t="s">
        <v>109</v>
      </c>
      <c r="K3" s="79">
        <f>'Gastos octubre'!O3</f>
        <v>500</v>
      </c>
      <c r="L3" s="121">
        <f>K3*D7</f>
        <v>0</v>
      </c>
      <c r="M3"/>
      <c r="N3" s="120" t="s">
        <v>109</v>
      </c>
      <c r="O3" s="79">
        <f>K3</f>
        <v>500</v>
      </c>
      <c r="P3" s="121">
        <f>L3+SUMIF($E$24:$E$173,$N3,$C$24:$C$173)+SUMIF($E$24:$E$173,$N3,$D$24:$D$173)</f>
        <v>0</v>
      </c>
      <c r="Q3" s="1"/>
      <c r="R3" s="120" t="s">
        <v>109</v>
      </c>
      <c r="S3" s="79">
        <f t="shared" si="0"/>
        <v>0</v>
      </c>
      <c r="T3" s="121">
        <f t="shared" si="1"/>
        <v>0</v>
      </c>
    </row>
    <row r="4" spans="2:25" x14ac:dyDescent="0.25">
      <c r="B4" s="115" t="s">
        <v>126</v>
      </c>
      <c r="C4" s="76">
        <f>DAY(EOMONTH(DATE($C$2,MATCH($C$3,{"enero";"febrero";"marzo";"abril";"mayo";"junio";"julio";"agosto";"septiembre";"octubre";"noviembre";"diciembre"},0),1),0))</f>
        <v>30</v>
      </c>
      <c r="J4" s="120" t="s">
        <v>108</v>
      </c>
      <c r="K4" s="79" t="str">
        <f>'Gastos octubre'!O4</f>
        <v/>
      </c>
      <c r="L4" s="121">
        <f>'Gastos octubre'!P4</f>
        <v>1647262.62</v>
      </c>
      <c r="M4"/>
      <c r="N4" s="120" t="s">
        <v>108</v>
      </c>
      <c r="O4" s="125" t="str">
        <f>IFERROR(P4/$C$8,"")</f>
        <v/>
      </c>
      <c r="P4" s="121">
        <f>L4+SUMIF($E$24:$E$173,$N4,$C$24:$C$173)+SUMIF($E$24:$E$173,$N4,$D$24:$D$173)</f>
        <v>1647262.62</v>
      </c>
      <c r="Q4" s="1"/>
      <c r="R4" s="120" t="s">
        <v>108</v>
      </c>
      <c r="S4" s="79">
        <f t="shared" si="0"/>
        <v>0</v>
      </c>
      <c r="T4" s="121">
        <f t="shared" si="1"/>
        <v>0</v>
      </c>
    </row>
    <row r="5" spans="2:25" x14ac:dyDescent="0.25">
      <c r="J5" s="120" t="s">
        <v>115</v>
      </c>
      <c r="K5" s="79" t="str">
        <f>'Gastos octubre'!O5</f>
        <v/>
      </c>
      <c r="L5" s="121">
        <f>'Gastos octubre'!P5</f>
        <v>3896368.7699999996</v>
      </c>
      <c r="M5"/>
      <c r="N5" s="120" t="s">
        <v>115</v>
      </c>
      <c r="O5" s="125" t="str">
        <f>IFERROR(P5/$C$8,"")</f>
        <v/>
      </c>
      <c r="P5" s="121">
        <f>L5+SUMIF($E$24:$E$173,$N5,$C$24:$C$173)+SUMIF($E$24:$E$173,$N5,$D$24:$D$173)</f>
        <v>3896368.7699999996</v>
      </c>
      <c r="Q5" s="1"/>
      <c r="R5" s="120" t="s">
        <v>115</v>
      </c>
      <c r="S5" s="79">
        <f t="shared" si="0"/>
        <v>0</v>
      </c>
      <c r="T5" s="121">
        <f t="shared" si="1"/>
        <v>0</v>
      </c>
    </row>
    <row r="6" spans="2:25" ht="15.75" thickBot="1" x14ac:dyDescent="0.3">
      <c r="B6" s="116" t="s">
        <v>113</v>
      </c>
      <c r="C6" s="117" t="s">
        <v>127</v>
      </c>
      <c r="D6" s="118" t="s">
        <v>128</v>
      </c>
      <c r="E6" s="112"/>
      <c r="J6" s="120" t="s">
        <v>130</v>
      </c>
      <c r="K6" s="79" t="str">
        <f>'Gastos octubre'!O6</f>
        <v/>
      </c>
      <c r="L6" s="121">
        <f>'Gastos octubre'!P6</f>
        <v>5648.429999998305</v>
      </c>
      <c r="M6"/>
      <c r="N6" s="120" t="s">
        <v>130</v>
      </c>
      <c r="O6" s="125" t="str">
        <f>IFERROR(P6/$C$8,"")</f>
        <v/>
      </c>
      <c r="P6" s="121">
        <f>L6+SUMIF($E$24:$E$173,$N6,$C$24:$C$173)+SUMIF($E$24:$E$173,$N6,$D$24:$D$173)</f>
        <v>5648.429999998305</v>
      </c>
      <c r="Q6" s="1"/>
      <c r="R6" s="120" t="s">
        <v>130</v>
      </c>
      <c r="S6" s="79">
        <f t="shared" si="0"/>
        <v>0</v>
      </c>
      <c r="T6" s="121">
        <f t="shared" si="1"/>
        <v>0</v>
      </c>
    </row>
    <row r="7" spans="2:25" x14ac:dyDescent="0.25">
      <c r="B7" s="127">
        <f>DATE($C$2,MATCH($C$3,{"enero";"febrero";"marzo";"abril";"mayo";"junio";"julio";"agosto";"septiembre";"octubre";"noviembre";"diciembre"},0),1)</f>
        <v>46327</v>
      </c>
      <c r="C7" s="128"/>
      <c r="D7" s="129"/>
      <c r="E7" s="14"/>
      <c r="J7" s="120" t="s">
        <v>131</v>
      </c>
      <c r="K7" s="79">
        <f>'Gastos octubre'!O7</f>
        <v>1.8800000000000026</v>
      </c>
      <c r="L7" s="121">
        <f>K7*D7</f>
        <v>0</v>
      </c>
      <c r="M7"/>
      <c r="N7" s="120" t="s">
        <v>131</v>
      </c>
      <c r="O7" s="63">
        <f>K7+SUM(C17:C19)+SUM(D17:D19)</f>
        <v>1.8800000000000026</v>
      </c>
      <c r="P7" s="121">
        <f>O7*$D$8</f>
        <v>0</v>
      </c>
      <c r="Q7" s="1"/>
      <c r="R7" s="120" t="s">
        <v>131</v>
      </c>
      <c r="S7" s="79">
        <f t="shared" si="0"/>
        <v>0</v>
      </c>
      <c r="T7" s="121">
        <f t="shared" si="1"/>
        <v>0</v>
      </c>
    </row>
    <row r="8" spans="2:25" x14ac:dyDescent="0.25">
      <c r="B8" s="119">
        <f>DATE($C$2,MATCH($C$3,{"enero";"febrero";"marzo";"abril";"mayo";"junio";"julio";"agosto";"septiembre";"octubre";"noviembre";"diciembre"},0),C4)</f>
        <v>46356</v>
      </c>
      <c r="C8" s="130"/>
      <c r="D8" s="76"/>
      <c r="J8" s="120" t="s">
        <v>114</v>
      </c>
      <c r="K8" s="79" t="str">
        <f>'Gastos octubre'!O8</f>
        <v/>
      </c>
      <c r="L8" s="121">
        <f>'Gastos octubre'!P8</f>
        <v>565.09</v>
      </c>
      <c r="M8"/>
      <c r="N8" s="120" t="s">
        <v>116</v>
      </c>
      <c r="O8" s="125" t="str">
        <f>IFERROR(P8/$C$8,"")</f>
        <v/>
      </c>
      <c r="P8" s="121">
        <f>L8+SUMIF($E$24:$E$173,$N8,$C$24:$C$173)+SUMIF($E$24:$E$173,$N8,$D$24:$D$173)</f>
        <v>565.09</v>
      </c>
      <c r="Q8" s="1"/>
      <c r="R8" s="120" t="s">
        <v>116</v>
      </c>
      <c r="S8" s="79">
        <f t="shared" si="0"/>
        <v>0</v>
      </c>
      <c r="T8" s="121">
        <f t="shared" si="1"/>
        <v>0</v>
      </c>
    </row>
    <row r="9" spans="2:25" x14ac:dyDescent="0.25">
      <c r="J9" s="120" t="s">
        <v>117</v>
      </c>
      <c r="K9" s="79" t="str">
        <f>'Gastos octubre'!O9</f>
        <v/>
      </c>
      <c r="L9" s="121">
        <f>'Gastos octubre'!P9</f>
        <v>1.36</v>
      </c>
      <c r="M9"/>
      <c r="N9" s="120" t="s">
        <v>117</v>
      </c>
      <c r="O9" s="125" t="str">
        <f>IFERROR(P9/$C$8,"")</f>
        <v/>
      </c>
      <c r="P9" s="121">
        <f>L9+SUMIF($E$24:$E$173,$N9,$C$24:$C$173)+SUMIF($E$24:$E$173,$N9,$D$24:$D$173)</f>
        <v>1.36</v>
      </c>
      <c r="Q9" s="1"/>
      <c r="R9" s="120" t="s">
        <v>117</v>
      </c>
      <c r="S9" s="79">
        <f t="shared" si="0"/>
        <v>0</v>
      </c>
      <c r="T9" s="121">
        <f t="shared" si="1"/>
        <v>0</v>
      </c>
    </row>
    <row r="10" spans="2:25" x14ac:dyDescent="0.25">
      <c r="J10" s="120" t="s">
        <v>118</v>
      </c>
      <c r="K10" s="79" t="str">
        <f>'Gastos octubre'!O10</f>
        <v/>
      </c>
      <c r="L10" s="121">
        <f>'Gastos octubre'!P10</f>
        <v>32600</v>
      </c>
      <c r="M10"/>
      <c r="N10" s="120" t="s">
        <v>118</v>
      </c>
      <c r="O10" s="125" t="str">
        <f>IFERROR(P10/$C$8,"")</f>
        <v/>
      </c>
      <c r="P10" s="121">
        <f>L10+SUMIF($E$24:$E$173,$N10,$C$24:$C$173)+SUMIF($E$24:$E$173,$N10,$D$24:$D$173)</f>
        <v>32600</v>
      </c>
      <c r="Q10" s="1"/>
      <c r="R10" s="120" t="s">
        <v>118</v>
      </c>
      <c r="S10" s="79">
        <f t="shared" si="0"/>
        <v>0</v>
      </c>
      <c r="T10" s="121">
        <f t="shared" si="1"/>
        <v>0</v>
      </c>
    </row>
    <row r="11" spans="2:25" ht="15.75" thickBot="1" x14ac:dyDescent="0.3">
      <c r="J11" s="120"/>
      <c r="K11"/>
      <c r="L11" s="74"/>
      <c r="M11"/>
      <c r="N11" s="120"/>
      <c r="P11" s="74"/>
      <c r="Q11" s="1"/>
      <c r="R11" s="120"/>
      <c r="T11" s="74"/>
    </row>
    <row r="12" spans="2:25" x14ac:dyDescent="0.25">
      <c r="J12" s="122" t="s">
        <v>82</v>
      </c>
      <c r="K12" s="123">
        <f>SUM(K2:K10)</f>
        <v>10501.88</v>
      </c>
      <c r="L12" s="124">
        <f>SUM(L2:L10)</f>
        <v>5582446.2699999986</v>
      </c>
      <c r="M12"/>
      <c r="N12" s="122" t="s">
        <v>82</v>
      </c>
      <c r="O12" s="123">
        <f>SUM(O2:O9)</f>
        <v>10501.88</v>
      </c>
      <c r="P12" s="124">
        <f>SUM(P2:P9)</f>
        <v>5549846.2699999986</v>
      </c>
      <c r="Q12" s="1"/>
      <c r="R12" s="122" t="s">
        <v>82</v>
      </c>
      <c r="S12" s="123">
        <f>SUM(S2:S9)</f>
        <v>0</v>
      </c>
      <c r="T12" s="124">
        <f>SUM(T2:T9)</f>
        <v>0</v>
      </c>
    </row>
    <row r="13" spans="2:25" x14ac:dyDescent="0.25">
      <c r="F13" s="14"/>
    </row>
    <row r="14" spans="2:25" ht="15.75" thickBot="1" x14ac:dyDescent="0.3">
      <c r="F14" s="14"/>
    </row>
    <row r="15" spans="2:25" x14ac:dyDescent="0.25">
      <c r="B15" s="245" t="s">
        <v>180</v>
      </c>
      <c r="C15" s="246"/>
      <c r="D15" s="246"/>
      <c r="E15" s="246"/>
      <c r="F15" s="246"/>
      <c r="G15" s="246"/>
      <c r="H15" s="247"/>
      <c r="J15" s="245" t="s">
        <v>171</v>
      </c>
      <c r="K15" s="246"/>
      <c r="L15" s="246"/>
      <c r="M15" s="246"/>
      <c r="N15" s="246"/>
      <c r="O15" s="246"/>
      <c r="P15" s="247"/>
    </row>
    <row r="16" spans="2:25" x14ac:dyDescent="0.25">
      <c r="B16" s="71" t="s">
        <v>132</v>
      </c>
      <c r="C16" s="72" t="s">
        <v>69</v>
      </c>
      <c r="D16" s="72" t="s">
        <v>122</v>
      </c>
      <c r="E16" s="72" t="s">
        <v>143</v>
      </c>
      <c r="F16" s="72" t="s">
        <v>123</v>
      </c>
      <c r="G16" s="72" t="s">
        <v>129</v>
      </c>
      <c r="H16" s="73" t="s">
        <v>121</v>
      </c>
      <c r="J16" s="82" t="s">
        <v>123</v>
      </c>
      <c r="K16" s="78" t="s">
        <v>170</v>
      </c>
      <c r="L16" s="78" t="s">
        <v>163</v>
      </c>
      <c r="M16" s="78" t="s">
        <v>172</v>
      </c>
      <c r="N16" s="78" t="s">
        <v>173</v>
      </c>
      <c r="P16" s="6"/>
      <c r="Q16" s="112"/>
    </row>
    <row r="17" spans="2:18" x14ac:dyDescent="0.25">
      <c r="B17" s="4">
        <v>1</v>
      </c>
      <c r="C17" s="66"/>
      <c r="D17" s="67"/>
      <c r="E17" s="1"/>
      <c r="F17" s="68"/>
      <c r="G17" s="1"/>
      <c r="H17" s="69"/>
      <c r="J17" s="83" t="s">
        <v>136</v>
      </c>
      <c r="K17" s="63">
        <f>SUMIF($F$24:$F$173,$J17,$D$24:$D$173)</f>
        <v>0</v>
      </c>
      <c r="L17" s="79">
        <f t="shared" ref="L17:L33" si="2">SUMIF($F$24:$F$173,$J17,$C$24:$C$173)</f>
        <v>0</v>
      </c>
      <c r="M17" s="80" t="str">
        <f t="shared" ref="M17:M33" si="3">IFERROR(K17/SUM(K$17:K$32),"")</f>
        <v/>
      </c>
      <c r="N17" s="81" t="str">
        <f t="shared" ref="N17:N33" si="4">IFERROR(L17/SUM(L$17:L$32),"")</f>
        <v/>
      </c>
      <c r="P17" s="6"/>
      <c r="Q17" s="78"/>
    </row>
    <row r="18" spans="2:18" x14ac:dyDescent="0.25">
      <c r="B18" s="70">
        <v>2</v>
      </c>
      <c r="C18" s="66"/>
      <c r="D18" s="67"/>
      <c r="E18" s="1"/>
      <c r="F18" s="68"/>
      <c r="G18" s="68"/>
      <c r="H18" s="69"/>
      <c r="J18" s="83" t="s">
        <v>151</v>
      </c>
      <c r="K18" s="63">
        <f t="shared" ref="K18:K33" si="5">SUMIF($F$24:$F$173,$J18,$C$24:$C$173)+SUMIF($F$24:$F$173,$J18,$D$24:$D$173)</f>
        <v>0</v>
      </c>
      <c r="L18" s="79">
        <f t="shared" si="2"/>
        <v>0</v>
      </c>
      <c r="M18" s="80" t="str">
        <f t="shared" si="3"/>
        <v/>
      </c>
      <c r="N18" s="81" t="str">
        <f t="shared" si="4"/>
        <v/>
      </c>
      <c r="P18" s="6"/>
      <c r="Q18" s="113"/>
    </row>
    <row r="19" spans="2:18" ht="15.75" thickBot="1" x14ac:dyDescent="0.3">
      <c r="B19" s="144">
        <v>3</v>
      </c>
      <c r="C19" s="133"/>
      <c r="D19" s="134"/>
      <c r="E19" s="9"/>
      <c r="F19" s="145"/>
      <c r="G19" s="145"/>
      <c r="H19" s="146"/>
      <c r="J19" s="83" t="s">
        <v>152</v>
      </c>
      <c r="K19" s="63">
        <f t="shared" si="5"/>
        <v>0</v>
      </c>
      <c r="L19" s="79">
        <f t="shared" si="2"/>
        <v>0</v>
      </c>
      <c r="M19" s="80" t="str">
        <f t="shared" si="3"/>
        <v/>
      </c>
      <c r="N19" s="81" t="str">
        <f t="shared" si="4"/>
        <v/>
      </c>
      <c r="P19" s="6"/>
      <c r="Q19" s="113"/>
    </row>
    <row r="20" spans="2:18" x14ac:dyDescent="0.25">
      <c r="J20" s="83" t="s">
        <v>153</v>
      </c>
      <c r="K20" s="63">
        <f t="shared" si="5"/>
        <v>0</v>
      </c>
      <c r="L20" s="79">
        <f t="shared" si="2"/>
        <v>0</v>
      </c>
      <c r="M20" s="80" t="str">
        <f t="shared" si="3"/>
        <v/>
      </c>
      <c r="N20" s="81" t="str">
        <f t="shared" si="4"/>
        <v/>
      </c>
      <c r="P20" s="6"/>
      <c r="Q20" s="113"/>
    </row>
    <row r="21" spans="2:18" ht="15.75" thickBot="1" x14ac:dyDescent="0.3">
      <c r="J21" s="83" t="s">
        <v>154</v>
      </c>
      <c r="K21" s="63">
        <f t="shared" si="5"/>
        <v>0</v>
      </c>
      <c r="L21" s="79">
        <f t="shared" si="2"/>
        <v>0</v>
      </c>
      <c r="M21" s="80" t="str">
        <f t="shared" si="3"/>
        <v/>
      </c>
      <c r="N21" s="81" t="str">
        <f t="shared" si="4"/>
        <v/>
      </c>
      <c r="P21" s="6"/>
    </row>
    <row r="22" spans="2:18" x14ac:dyDescent="0.25">
      <c r="B22" s="245" t="s">
        <v>179</v>
      </c>
      <c r="C22" s="246"/>
      <c r="D22" s="246"/>
      <c r="E22" s="246"/>
      <c r="F22" s="246"/>
      <c r="G22" s="246"/>
      <c r="H22" s="247"/>
      <c r="J22" s="83" t="s">
        <v>137</v>
      </c>
      <c r="K22" s="63">
        <f t="shared" si="5"/>
        <v>0</v>
      </c>
      <c r="L22" s="79">
        <f t="shared" si="2"/>
        <v>0</v>
      </c>
      <c r="M22" s="80" t="str">
        <f t="shared" si="3"/>
        <v/>
      </c>
      <c r="N22" s="81" t="str">
        <f t="shared" si="4"/>
        <v/>
      </c>
      <c r="P22" s="6"/>
    </row>
    <row r="23" spans="2:18" x14ac:dyDescent="0.25">
      <c r="B23" s="71" t="s">
        <v>132</v>
      </c>
      <c r="C23" s="72" t="s">
        <v>69</v>
      </c>
      <c r="D23" s="72" t="s">
        <v>122</v>
      </c>
      <c r="E23" s="72" t="s">
        <v>143</v>
      </c>
      <c r="F23" s="72" t="s">
        <v>123</v>
      </c>
      <c r="G23" s="72" t="s">
        <v>129</v>
      </c>
      <c r="H23" s="73" t="s">
        <v>121</v>
      </c>
      <c r="J23" s="83" t="s">
        <v>138</v>
      </c>
      <c r="K23" s="63">
        <f t="shared" si="5"/>
        <v>0</v>
      </c>
      <c r="L23" s="79">
        <f t="shared" si="2"/>
        <v>0</v>
      </c>
      <c r="M23" s="80" t="str">
        <f t="shared" si="3"/>
        <v/>
      </c>
      <c r="N23" s="81" t="str">
        <f t="shared" si="4"/>
        <v/>
      </c>
      <c r="P23" s="6"/>
    </row>
    <row r="24" spans="2:18" x14ac:dyDescent="0.25">
      <c r="B24" s="4">
        <v>1</v>
      </c>
      <c r="D24" s="67"/>
      <c r="E24" s="1"/>
      <c r="F24" s="68"/>
      <c r="G24" s="1"/>
      <c r="H24" s="69"/>
      <c r="J24" s="83" t="s">
        <v>139</v>
      </c>
      <c r="K24" s="63">
        <f t="shared" si="5"/>
        <v>0</v>
      </c>
      <c r="L24" s="79">
        <f t="shared" si="2"/>
        <v>0</v>
      </c>
      <c r="M24" s="80" t="str">
        <f t="shared" si="3"/>
        <v/>
      </c>
      <c r="N24" s="81" t="str">
        <f t="shared" si="4"/>
        <v/>
      </c>
      <c r="P24" s="6"/>
    </row>
    <row r="25" spans="2:18" x14ac:dyDescent="0.25">
      <c r="B25" s="70">
        <v>2</v>
      </c>
      <c r="C25" s="66"/>
      <c r="D25" s="67"/>
      <c r="E25" s="1"/>
      <c r="F25" s="68"/>
      <c r="G25" s="68"/>
      <c r="H25" s="69"/>
      <c r="J25" s="83" t="s">
        <v>140</v>
      </c>
      <c r="K25" s="63">
        <f t="shared" si="5"/>
        <v>0</v>
      </c>
      <c r="L25" s="79">
        <f t="shared" si="2"/>
        <v>0</v>
      </c>
      <c r="M25" s="80" t="str">
        <f t="shared" si="3"/>
        <v/>
      </c>
      <c r="N25" s="81" t="str">
        <f t="shared" si="4"/>
        <v/>
      </c>
      <c r="P25" s="6"/>
    </row>
    <row r="26" spans="2:18" x14ac:dyDescent="0.25">
      <c r="B26" s="70">
        <v>3</v>
      </c>
      <c r="C26" s="66"/>
      <c r="D26" s="67"/>
      <c r="E26" s="1"/>
      <c r="F26" s="68"/>
      <c r="G26" s="68"/>
      <c r="H26" s="69"/>
      <c r="J26" s="83" t="s">
        <v>141</v>
      </c>
      <c r="K26" s="63">
        <f t="shared" si="5"/>
        <v>0</v>
      </c>
      <c r="L26" s="79">
        <f t="shared" si="2"/>
        <v>0</v>
      </c>
      <c r="M26" s="80" t="str">
        <f t="shared" si="3"/>
        <v/>
      </c>
      <c r="N26" s="81" t="str">
        <f t="shared" si="4"/>
        <v/>
      </c>
      <c r="P26" s="6"/>
      <c r="R26" s="63"/>
    </row>
    <row r="27" spans="2:18" x14ac:dyDescent="0.25">
      <c r="B27" s="70">
        <v>4</v>
      </c>
      <c r="C27" s="66"/>
      <c r="D27" s="67"/>
      <c r="E27" s="1"/>
      <c r="F27" s="68"/>
      <c r="G27" s="68"/>
      <c r="H27" s="69"/>
      <c r="J27" s="83" t="s">
        <v>149</v>
      </c>
      <c r="K27" s="63">
        <f t="shared" si="5"/>
        <v>0</v>
      </c>
      <c r="L27" s="79">
        <f t="shared" si="2"/>
        <v>0</v>
      </c>
      <c r="M27" s="80" t="str">
        <f t="shared" si="3"/>
        <v/>
      </c>
      <c r="N27" s="81" t="str">
        <f t="shared" si="4"/>
        <v/>
      </c>
      <c r="P27" s="6"/>
    </row>
    <row r="28" spans="2:18" x14ac:dyDescent="0.25">
      <c r="B28" s="70">
        <v>5</v>
      </c>
      <c r="C28" s="66"/>
      <c r="D28" s="67"/>
      <c r="E28" s="1"/>
      <c r="F28" s="68"/>
      <c r="G28" s="68"/>
      <c r="H28" s="69"/>
      <c r="J28" s="83" t="s">
        <v>150</v>
      </c>
      <c r="K28" s="63">
        <f t="shared" si="5"/>
        <v>0</v>
      </c>
      <c r="L28" s="79">
        <f t="shared" si="2"/>
        <v>0</v>
      </c>
      <c r="M28" s="80" t="str">
        <f t="shared" si="3"/>
        <v/>
      </c>
      <c r="N28" s="81" t="str">
        <f t="shared" si="4"/>
        <v/>
      </c>
      <c r="P28" s="6"/>
    </row>
    <row r="29" spans="2:18" x14ac:dyDescent="0.25">
      <c r="B29" s="4">
        <v>6</v>
      </c>
      <c r="C29" s="66"/>
      <c r="D29" s="67"/>
      <c r="E29" s="1"/>
      <c r="F29" s="68"/>
      <c r="G29" s="68"/>
      <c r="H29" s="69"/>
      <c r="J29" s="83" t="s">
        <v>158</v>
      </c>
      <c r="K29" s="63">
        <f t="shared" si="5"/>
        <v>0</v>
      </c>
      <c r="L29" s="79">
        <f t="shared" si="2"/>
        <v>0</v>
      </c>
      <c r="M29" s="80" t="str">
        <f t="shared" si="3"/>
        <v/>
      </c>
      <c r="N29" s="81" t="str">
        <f t="shared" si="4"/>
        <v/>
      </c>
      <c r="P29" s="6"/>
    </row>
    <row r="30" spans="2:18" x14ac:dyDescent="0.25">
      <c r="B30" s="70">
        <v>7</v>
      </c>
      <c r="C30" s="66"/>
      <c r="D30" s="67"/>
      <c r="E30" s="1"/>
      <c r="F30" s="68"/>
      <c r="G30" s="68"/>
      <c r="H30" s="69"/>
      <c r="J30" s="83" t="s">
        <v>157</v>
      </c>
      <c r="K30" s="63">
        <f t="shared" si="5"/>
        <v>0</v>
      </c>
      <c r="L30" s="79">
        <f t="shared" si="2"/>
        <v>0</v>
      </c>
      <c r="M30" s="80" t="str">
        <f t="shared" si="3"/>
        <v/>
      </c>
      <c r="N30" s="81" t="str">
        <f t="shared" si="4"/>
        <v/>
      </c>
      <c r="P30" s="6"/>
    </row>
    <row r="31" spans="2:18" x14ac:dyDescent="0.25">
      <c r="B31" s="70">
        <v>8</v>
      </c>
      <c r="C31" s="66"/>
      <c r="D31" s="67"/>
      <c r="E31" s="1"/>
      <c r="F31" s="68"/>
      <c r="G31" s="68"/>
      <c r="H31" s="69"/>
      <c r="J31" s="83" t="s">
        <v>159</v>
      </c>
      <c r="K31" s="63">
        <f t="shared" si="5"/>
        <v>0</v>
      </c>
      <c r="L31" s="79">
        <f t="shared" si="2"/>
        <v>0</v>
      </c>
      <c r="M31" s="80" t="str">
        <f t="shared" si="3"/>
        <v/>
      </c>
      <c r="N31" s="81" t="str">
        <f t="shared" si="4"/>
        <v/>
      </c>
      <c r="P31" s="6"/>
    </row>
    <row r="32" spans="2:18" x14ac:dyDescent="0.25">
      <c r="B32" s="70">
        <v>9</v>
      </c>
      <c r="C32" s="66"/>
      <c r="D32" s="67"/>
      <c r="E32" s="1"/>
      <c r="F32" s="68"/>
      <c r="G32" s="68"/>
      <c r="H32" s="69"/>
      <c r="J32" s="83" t="s">
        <v>167</v>
      </c>
      <c r="K32" s="63">
        <f t="shared" si="5"/>
        <v>0</v>
      </c>
      <c r="L32" s="79">
        <f t="shared" si="2"/>
        <v>0</v>
      </c>
      <c r="M32" s="80" t="str">
        <f t="shared" si="3"/>
        <v/>
      </c>
      <c r="N32" s="81" t="str">
        <f t="shared" si="4"/>
        <v/>
      </c>
      <c r="P32" s="6"/>
    </row>
    <row r="33" spans="2:16" ht="15.75" thickBot="1" x14ac:dyDescent="0.3">
      <c r="B33" s="70">
        <v>10</v>
      </c>
      <c r="C33" s="66"/>
      <c r="D33" s="67"/>
      <c r="E33" s="1"/>
      <c r="F33" s="68"/>
      <c r="G33" s="68"/>
      <c r="H33" s="69"/>
      <c r="J33" s="84" t="s">
        <v>175</v>
      </c>
      <c r="K33" s="85">
        <f t="shared" si="5"/>
        <v>0</v>
      </c>
      <c r="L33" s="86">
        <f t="shared" si="2"/>
        <v>0</v>
      </c>
      <c r="M33" s="87" t="str">
        <f t="shared" si="3"/>
        <v/>
      </c>
      <c r="N33" s="88" t="str">
        <f t="shared" si="4"/>
        <v/>
      </c>
      <c r="O33" s="7"/>
      <c r="P33" s="19"/>
    </row>
    <row r="34" spans="2:16" x14ac:dyDescent="0.25">
      <c r="B34" s="4">
        <v>11</v>
      </c>
      <c r="C34" s="66"/>
      <c r="D34" s="67"/>
      <c r="E34" s="68"/>
      <c r="F34" s="68"/>
      <c r="G34" s="68"/>
      <c r="H34" s="69"/>
    </row>
    <row r="35" spans="2:16" x14ac:dyDescent="0.25">
      <c r="B35" s="70">
        <v>12</v>
      </c>
      <c r="C35" s="66"/>
      <c r="D35" s="67"/>
      <c r="E35" s="68"/>
      <c r="F35" s="68"/>
      <c r="G35" s="68"/>
      <c r="H35" s="69"/>
      <c r="J35" s="250" t="s">
        <v>115</v>
      </c>
      <c r="K35" s="251"/>
      <c r="L35" s="251"/>
      <c r="M35" s="251"/>
      <c r="N35" s="252"/>
    </row>
    <row r="36" spans="2:16" x14ac:dyDescent="0.25">
      <c r="B36" s="70">
        <v>13</v>
      </c>
      <c r="C36" s="66"/>
      <c r="D36" s="67"/>
      <c r="E36" s="68"/>
      <c r="F36" s="68"/>
      <c r="G36" s="68"/>
      <c r="H36" s="69"/>
      <c r="J36" s="83" t="s">
        <v>115</v>
      </c>
      <c r="K36" s="89">
        <v>46272</v>
      </c>
      <c r="L36" s="89">
        <v>46279</v>
      </c>
      <c r="M36" s="89">
        <v>46286</v>
      </c>
      <c r="N36" s="90">
        <v>46293</v>
      </c>
    </row>
    <row r="37" spans="2:16" x14ac:dyDescent="0.25">
      <c r="B37" s="70">
        <v>14</v>
      </c>
      <c r="C37" s="66"/>
      <c r="D37" s="67"/>
      <c r="E37" s="68"/>
      <c r="F37" s="68"/>
      <c r="G37" s="68"/>
      <c r="H37" s="69"/>
      <c r="J37" s="83" t="s">
        <v>183</v>
      </c>
      <c r="K37" s="63">
        <f>$L$5+SUMIFS($C$24:$C$173,$E$24:$E$173,$N5,$H$24:$H$173,"&lt;="&amp;K$36)+SUMIFS($D$24:$D$173,$E$24:$E$173,$N5,$H$24:$H$173,"&lt;="&amp;K$36)</f>
        <v>3896368.7699999996</v>
      </c>
      <c r="L37" s="79">
        <f>$L$5+SUMIFS($C$24:$C$173,$E$24:$E$173,$N5,$H$24:$H$173,"&lt;"&amp;L$36)+SUMIFS($D$24:$D$173,$E$24:$E$173,$N5,$H$24:$H$173,"&lt;="&amp;L$36)</f>
        <v>3896368.7699999996</v>
      </c>
      <c r="M37" s="79">
        <f>$L$5+SUMIFS($C$24:$C$173,$E$24:$E$173,$N5,$H$24:$H$173,"&lt;"&amp;M$36)+SUMIFS($D$24:$D$173,$E$24:$E$173,$N5,$H$24:$H$173,"&lt;="&amp;M$36)</f>
        <v>3896368.7699999996</v>
      </c>
      <c r="N37" s="131">
        <f>$L$5+SUMIFS($C$24:$C$173,$E$24:$E$173,$N5,$H$24:$H$173,"&lt;"&amp;N$36)+SUMIFS($D$24:$D$173,$E$24:$E$173,$N5,$H$24:$H$173,"&lt;="&amp;N$36)</f>
        <v>3896368.7699999996</v>
      </c>
    </row>
    <row r="38" spans="2:16" x14ac:dyDescent="0.25">
      <c r="B38" s="70">
        <v>15</v>
      </c>
      <c r="C38" s="66"/>
      <c r="D38" s="67"/>
      <c r="E38" s="68"/>
      <c r="F38" s="68"/>
      <c r="G38" s="68"/>
      <c r="H38" s="69"/>
      <c r="J38" s="83" t="s">
        <v>184</v>
      </c>
      <c r="K38" s="79"/>
      <c r="L38" s="79"/>
      <c r="M38" s="79"/>
      <c r="N38" s="131"/>
    </row>
    <row r="39" spans="2:16" x14ac:dyDescent="0.25">
      <c r="B39" s="4">
        <v>16</v>
      </c>
      <c r="C39" s="66"/>
      <c r="D39" s="67"/>
      <c r="E39" s="68"/>
      <c r="F39" s="68"/>
      <c r="G39" s="68"/>
      <c r="H39" s="69"/>
      <c r="J39" s="83" t="s">
        <v>185</v>
      </c>
      <c r="K39" s="63" t="str">
        <f>IF(K38="","",K38-K37)</f>
        <v/>
      </c>
      <c r="L39" s="63" t="str">
        <f>IF(L38="","",L38-L37)</f>
        <v/>
      </c>
      <c r="M39" s="63" t="str">
        <f>IF(M38="","",M38-M37)</f>
        <v/>
      </c>
      <c r="N39" s="91" t="str">
        <f>IF(N38="","",N38-N37)</f>
        <v/>
      </c>
    </row>
    <row r="40" spans="2:16" ht="15.75" thickBot="1" x14ac:dyDescent="0.3">
      <c r="B40" s="70">
        <v>17</v>
      </c>
      <c r="C40" s="66"/>
      <c r="D40" s="67"/>
      <c r="E40" s="1"/>
      <c r="F40" s="68"/>
      <c r="G40" s="68"/>
      <c r="H40" s="69"/>
      <c r="J40" s="84" t="s">
        <v>186</v>
      </c>
      <c r="K40" s="92" t="str">
        <f>IF(K39="","",((K38-K37)/K37))</f>
        <v/>
      </c>
      <c r="L40" s="92" t="str">
        <f>IF(L39="","",((L38-L37)/L37))</f>
        <v/>
      </c>
      <c r="M40" s="92" t="str">
        <f>IF(M39="","",((M38-M37)/M37))</f>
        <v/>
      </c>
      <c r="N40" s="93" t="str">
        <f>IF(N39="","",((N38-N37)/N37))</f>
        <v/>
      </c>
    </row>
    <row r="41" spans="2:16" x14ac:dyDescent="0.25">
      <c r="B41" s="70">
        <v>18</v>
      </c>
      <c r="C41" s="66"/>
      <c r="D41" s="67"/>
      <c r="E41" s="1"/>
      <c r="F41" s="68"/>
      <c r="G41" s="68"/>
      <c r="H41" s="69"/>
      <c r="K41"/>
      <c r="L41"/>
      <c r="M41"/>
      <c r="N41"/>
    </row>
    <row r="42" spans="2:16" x14ac:dyDescent="0.25">
      <c r="B42" s="70">
        <v>19</v>
      </c>
      <c r="C42" s="66"/>
      <c r="D42" s="67"/>
      <c r="E42" s="1"/>
      <c r="F42" s="68"/>
      <c r="G42" s="68"/>
      <c r="H42" s="69"/>
      <c r="J42" s="250" t="s">
        <v>195</v>
      </c>
      <c r="K42" s="251"/>
      <c r="L42" s="251"/>
      <c r="M42" s="251"/>
      <c r="N42" s="252"/>
    </row>
    <row r="43" spans="2:16" x14ac:dyDescent="0.25">
      <c r="B43" s="70">
        <v>20</v>
      </c>
      <c r="C43" s="66"/>
      <c r="D43" s="67"/>
      <c r="E43" s="68"/>
      <c r="F43" s="68"/>
      <c r="G43" s="68"/>
      <c r="H43" s="69"/>
      <c r="J43" s="83" t="s">
        <v>121</v>
      </c>
      <c r="K43" s="89">
        <f>K36</f>
        <v>46272</v>
      </c>
      <c r="L43" s="89">
        <f>L36</f>
        <v>46279</v>
      </c>
      <c r="M43" s="89">
        <f>M36</f>
        <v>46286</v>
      </c>
      <c r="N43" s="90">
        <f>N36</f>
        <v>46293</v>
      </c>
    </row>
    <row r="44" spans="2:16" x14ac:dyDescent="0.25">
      <c r="B44" s="4">
        <v>21</v>
      </c>
      <c r="C44" s="66"/>
      <c r="D44" s="67"/>
      <c r="E44" s="68"/>
      <c r="F44" s="68"/>
      <c r="G44" s="68"/>
      <c r="H44" s="69"/>
      <c r="J44" s="83" t="s">
        <v>196</v>
      </c>
      <c r="K44" s="63">
        <f>$L$4+SUMIFS($D$24:$D$173,$G$24:$G$173,"Transferencia a Petrini",$H$24:$H$173,"&lt;"&amp;K$36)*-1+SUMIFS($D$24:$D$173,$G$24:$G$173,"Transferencia de Petrini",$H$24:$H$173,"&lt;"&amp;K$36)</f>
        <v>1647262.62</v>
      </c>
      <c r="L44" s="63">
        <f>$L$4+SUMIFS($D$24:$D$173,$G$24:$G$173,"Transferencia a Petrini",$H$24:$H$173,"&lt;"&amp;L$36)*-1+SUMIFS($D$24:$D$173,$G$24:$G$173,"Transferencia de Petrini",$H$24:$H$173,"&lt;"&amp;L$36)</f>
        <v>1647262.62</v>
      </c>
      <c r="M44" s="63">
        <f>$L$4+SUMIFS($D$24:$D$173,$G$24:$G$173,"Transferencia a Petrini",$H$24:$H$173,"&lt;"&amp;M$36)*-1+SUMIFS($D$24:$D$173,$G$24:$G$173,"Transferencia de Petrini",$H$24:$H$173,"&lt;"&amp;M$36)</f>
        <v>1647262.62</v>
      </c>
      <c r="N44" s="131">
        <f>$L$4+SUMIFS($D$24:$D$173,$G$24:$G$173,"Transferencia a Petrini",$H$24:$H$173,"&lt;"&amp;N$36)*-1+SUMIFS($D$24:$D$173,$G$24:$G$173,"Transferencia de Petrini",$H$24:$H$173,"&lt;"&amp;N$36)</f>
        <v>1647262.62</v>
      </c>
    </row>
    <row r="45" spans="2:16" x14ac:dyDescent="0.25">
      <c r="B45" s="70">
        <v>22</v>
      </c>
      <c r="C45" s="66"/>
      <c r="D45" s="67"/>
      <c r="E45" s="1"/>
      <c r="F45" s="68"/>
      <c r="G45" s="68"/>
      <c r="H45" s="69"/>
      <c r="J45" s="83" t="s">
        <v>197</v>
      </c>
      <c r="K45" s="79"/>
      <c r="L45" s="79"/>
      <c r="M45" s="63"/>
      <c r="N45" s="131"/>
    </row>
    <row r="46" spans="2:16" x14ac:dyDescent="0.25">
      <c r="B46" s="70">
        <v>23</v>
      </c>
      <c r="C46" s="66"/>
      <c r="D46" s="67"/>
      <c r="E46" s="1"/>
      <c r="F46" s="68"/>
      <c r="G46" s="68"/>
      <c r="H46" s="69"/>
      <c r="J46" s="83" t="s">
        <v>185</v>
      </c>
      <c r="K46" s="63" t="str">
        <f>IF(K45="","",K45-K44)</f>
        <v/>
      </c>
      <c r="L46" s="63" t="str">
        <f>IF(L45="","",L45-L44)</f>
        <v/>
      </c>
      <c r="M46" s="63" t="str">
        <f>IF(M45="","",M45-M44)</f>
        <v/>
      </c>
      <c r="N46" s="91" t="str">
        <f>IF(N45="","",N45-N44)</f>
        <v/>
      </c>
    </row>
    <row r="47" spans="2:16" ht="15.75" thickBot="1" x14ac:dyDescent="0.3">
      <c r="B47" s="70">
        <v>24</v>
      </c>
      <c r="C47" s="66"/>
      <c r="D47" s="67"/>
      <c r="E47" s="1"/>
      <c r="F47" s="68"/>
      <c r="G47" s="1"/>
      <c r="H47" s="69"/>
      <c r="J47" s="84" t="s">
        <v>186</v>
      </c>
      <c r="K47" s="92" t="str">
        <f>IF(K46="","",((K45-K44)/K44))</f>
        <v/>
      </c>
      <c r="L47" s="92" t="str">
        <f>IF(L46="","",((L45-L44)/L44))</f>
        <v/>
      </c>
      <c r="M47" s="92" t="str">
        <f>IF(M46="","",((M45-M44)/M44))</f>
        <v/>
      </c>
      <c r="N47" s="93" t="str">
        <f>IF(N46="","",((N45-N44)/N44))</f>
        <v/>
      </c>
    </row>
    <row r="48" spans="2:16" x14ac:dyDescent="0.25">
      <c r="B48" s="70">
        <v>25</v>
      </c>
      <c r="C48" s="66"/>
      <c r="D48" s="67"/>
      <c r="E48" s="1"/>
      <c r="F48" s="68"/>
      <c r="G48" s="68"/>
      <c r="H48" s="69"/>
    </row>
    <row r="49" spans="2:11" x14ac:dyDescent="0.25">
      <c r="B49" s="4">
        <v>26</v>
      </c>
      <c r="C49" s="66"/>
      <c r="D49" s="67"/>
      <c r="E49" s="1"/>
      <c r="F49" s="68"/>
      <c r="G49" s="68"/>
      <c r="H49" s="69"/>
    </row>
    <row r="50" spans="2:11" x14ac:dyDescent="0.25">
      <c r="B50" s="70">
        <v>27</v>
      </c>
      <c r="C50" s="66"/>
      <c r="D50" s="67"/>
      <c r="E50" s="1"/>
      <c r="F50" s="68"/>
      <c r="G50" s="68"/>
      <c r="H50" s="69"/>
      <c r="K50" s="137"/>
    </row>
    <row r="51" spans="2:11" x14ac:dyDescent="0.25">
      <c r="B51" s="70">
        <v>28</v>
      </c>
      <c r="C51" s="66"/>
      <c r="D51" s="67"/>
      <c r="E51" s="1"/>
      <c r="F51" s="68"/>
      <c r="G51" s="68"/>
      <c r="H51" s="69"/>
    </row>
    <row r="52" spans="2:11" x14ac:dyDescent="0.25">
      <c r="B52" s="70">
        <v>29</v>
      </c>
      <c r="C52" s="66"/>
      <c r="D52" s="67"/>
      <c r="E52" s="68"/>
      <c r="F52" s="68"/>
      <c r="G52" s="68"/>
      <c r="H52" s="69"/>
    </row>
    <row r="53" spans="2:11" x14ac:dyDescent="0.25">
      <c r="B53" s="70">
        <v>30</v>
      </c>
      <c r="C53" s="66"/>
      <c r="D53" s="67"/>
      <c r="E53" s="68"/>
      <c r="F53" s="68"/>
      <c r="G53" s="68"/>
      <c r="H53" s="69"/>
    </row>
    <row r="54" spans="2:11" x14ac:dyDescent="0.25">
      <c r="B54" s="4">
        <v>31</v>
      </c>
      <c r="C54" s="66"/>
      <c r="D54" s="67"/>
      <c r="E54" s="68"/>
      <c r="F54" s="68"/>
      <c r="G54" s="68"/>
      <c r="H54" s="69"/>
    </row>
    <row r="55" spans="2:11" x14ac:dyDescent="0.25">
      <c r="B55" s="70">
        <v>32</v>
      </c>
      <c r="C55" s="66"/>
      <c r="D55" s="67"/>
      <c r="E55" s="1"/>
      <c r="F55" s="68"/>
      <c r="G55" s="68"/>
      <c r="H55" s="69"/>
    </row>
    <row r="56" spans="2:11" x14ac:dyDescent="0.25">
      <c r="B56" s="70">
        <v>33</v>
      </c>
      <c r="C56" s="66"/>
      <c r="D56" s="67"/>
      <c r="E56" s="1"/>
      <c r="F56" s="68"/>
      <c r="G56" s="1"/>
      <c r="H56" s="69"/>
    </row>
    <row r="57" spans="2:11" x14ac:dyDescent="0.25">
      <c r="B57" s="70">
        <v>34</v>
      </c>
      <c r="C57" s="66"/>
      <c r="D57" s="67"/>
      <c r="E57" s="1"/>
      <c r="F57" s="68"/>
      <c r="G57" s="68"/>
      <c r="H57" s="69"/>
    </row>
    <row r="58" spans="2:11" x14ac:dyDescent="0.25">
      <c r="B58" s="70">
        <v>35</v>
      </c>
      <c r="C58" s="66"/>
      <c r="D58" s="67"/>
      <c r="E58" s="1"/>
      <c r="F58" s="1"/>
      <c r="G58" s="1"/>
      <c r="H58" s="69"/>
    </row>
    <row r="59" spans="2:11" x14ac:dyDescent="0.25">
      <c r="B59" s="4">
        <v>36</v>
      </c>
      <c r="C59" s="66"/>
      <c r="D59" s="67"/>
      <c r="E59" s="1"/>
      <c r="F59" s="1"/>
      <c r="G59" s="1"/>
      <c r="H59" s="69"/>
    </row>
    <row r="60" spans="2:11" x14ac:dyDescent="0.25">
      <c r="B60" s="70">
        <v>37</v>
      </c>
      <c r="C60" s="66"/>
      <c r="D60" s="67"/>
      <c r="E60" s="1"/>
      <c r="F60" s="1"/>
      <c r="G60" s="1"/>
      <c r="H60" s="69"/>
    </row>
    <row r="61" spans="2:11" x14ac:dyDescent="0.25">
      <c r="B61" s="70">
        <v>38</v>
      </c>
      <c r="C61" s="66"/>
      <c r="D61" s="67"/>
      <c r="E61" s="1"/>
      <c r="F61" s="1"/>
      <c r="G61" s="1"/>
      <c r="H61" s="69"/>
    </row>
    <row r="62" spans="2:11" x14ac:dyDescent="0.25">
      <c r="B62" s="70">
        <v>39</v>
      </c>
      <c r="C62" s="66"/>
      <c r="D62" s="67"/>
      <c r="E62" s="1"/>
      <c r="F62" s="1"/>
      <c r="G62" s="1"/>
      <c r="H62" s="69"/>
    </row>
    <row r="63" spans="2:11" x14ac:dyDescent="0.25">
      <c r="B63" s="70">
        <v>40</v>
      </c>
      <c r="C63" s="66"/>
      <c r="D63" s="67"/>
      <c r="E63" s="1"/>
      <c r="F63" s="68"/>
      <c r="G63" s="1"/>
      <c r="H63" s="135"/>
    </row>
    <row r="64" spans="2:11" x14ac:dyDescent="0.25">
      <c r="B64" s="4">
        <v>41</v>
      </c>
      <c r="C64" s="66"/>
      <c r="D64" s="67"/>
      <c r="E64" s="1"/>
      <c r="F64" s="68"/>
      <c r="G64" s="1"/>
      <c r="H64" s="135"/>
    </row>
    <row r="65" spans="2:8" x14ac:dyDescent="0.25">
      <c r="B65" s="70">
        <v>42</v>
      </c>
      <c r="C65" s="66"/>
      <c r="D65" s="67"/>
      <c r="E65" s="1"/>
      <c r="F65" s="1"/>
      <c r="G65" s="1"/>
      <c r="H65" s="135"/>
    </row>
    <row r="66" spans="2:8" x14ac:dyDescent="0.25">
      <c r="B66" s="70">
        <v>43</v>
      </c>
      <c r="C66" s="66"/>
      <c r="D66" s="67"/>
      <c r="E66" s="1"/>
      <c r="F66" s="1"/>
      <c r="G66" s="1"/>
      <c r="H66" s="135"/>
    </row>
    <row r="67" spans="2:8" x14ac:dyDescent="0.25">
      <c r="B67" s="70">
        <v>44</v>
      </c>
      <c r="C67" s="66"/>
      <c r="D67" s="67"/>
      <c r="E67" s="1"/>
      <c r="F67" s="68"/>
      <c r="G67" s="136"/>
      <c r="H67" s="135"/>
    </row>
    <row r="68" spans="2:8" x14ac:dyDescent="0.25">
      <c r="B68" s="70">
        <v>45</v>
      </c>
      <c r="C68" s="66"/>
      <c r="D68" s="67"/>
      <c r="E68" s="1"/>
      <c r="F68" s="68"/>
      <c r="G68" s="136"/>
      <c r="H68" s="135"/>
    </row>
    <row r="69" spans="2:8" x14ac:dyDescent="0.25">
      <c r="B69" s="4">
        <v>46</v>
      </c>
      <c r="C69" s="66"/>
      <c r="D69" s="67"/>
      <c r="E69" s="1"/>
      <c r="F69" s="1"/>
      <c r="G69" s="1"/>
      <c r="H69" s="135"/>
    </row>
    <row r="70" spans="2:8" x14ac:dyDescent="0.25">
      <c r="B70" s="70">
        <v>47</v>
      </c>
      <c r="C70" s="66"/>
      <c r="D70" s="67"/>
      <c r="E70" s="1"/>
      <c r="F70" s="1"/>
      <c r="G70" s="68"/>
      <c r="H70" s="135"/>
    </row>
    <row r="71" spans="2:8" x14ac:dyDescent="0.25">
      <c r="B71" s="70">
        <v>48</v>
      </c>
      <c r="C71" s="66"/>
      <c r="D71" s="67"/>
      <c r="E71" s="1"/>
      <c r="F71" s="1"/>
      <c r="G71" s="68"/>
      <c r="H71" s="135"/>
    </row>
    <row r="72" spans="2:8" x14ac:dyDescent="0.25">
      <c r="B72" s="70">
        <v>49</v>
      </c>
      <c r="C72" s="66"/>
      <c r="D72" s="67"/>
      <c r="E72" s="1"/>
      <c r="F72" s="1"/>
      <c r="G72" s="1"/>
      <c r="H72" s="135"/>
    </row>
    <row r="73" spans="2:8" x14ac:dyDescent="0.25">
      <c r="B73" s="70">
        <v>50</v>
      </c>
      <c r="C73" s="66"/>
      <c r="D73" s="67"/>
      <c r="E73" s="1"/>
      <c r="F73" s="1"/>
      <c r="G73" s="1"/>
      <c r="H73" s="135"/>
    </row>
    <row r="74" spans="2:8" x14ac:dyDescent="0.25">
      <c r="B74" s="4">
        <v>51</v>
      </c>
      <c r="C74" s="66"/>
      <c r="D74" s="67"/>
      <c r="E74" s="1"/>
      <c r="F74" s="1"/>
      <c r="G74" s="1"/>
      <c r="H74" s="135"/>
    </row>
    <row r="75" spans="2:8" x14ac:dyDescent="0.25">
      <c r="B75" s="70">
        <v>52</v>
      </c>
      <c r="C75" s="66"/>
      <c r="D75" s="67"/>
      <c r="E75" s="1"/>
      <c r="F75" s="1"/>
      <c r="G75" s="1"/>
      <c r="H75" s="135"/>
    </row>
    <row r="76" spans="2:8" x14ac:dyDescent="0.25">
      <c r="B76" s="70">
        <v>53</v>
      </c>
      <c r="C76" s="66"/>
      <c r="D76" s="67"/>
      <c r="E76" s="1"/>
      <c r="F76" s="1"/>
      <c r="G76" s="1"/>
      <c r="H76" s="135"/>
    </row>
    <row r="77" spans="2:8" x14ac:dyDescent="0.25">
      <c r="B77" s="70">
        <v>54</v>
      </c>
      <c r="C77" s="66"/>
      <c r="D77" s="67"/>
      <c r="E77" s="1"/>
      <c r="F77" s="1"/>
      <c r="G77" s="1"/>
      <c r="H77" s="135"/>
    </row>
    <row r="78" spans="2:8" x14ac:dyDescent="0.25">
      <c r="B78" s="70">
        <v>55</v>
      </c>
      <c r="C78" s="66"/>
      <c r="D78" s="67"/>
      <c r="E78" s="1"/>
      <c r="F78" s="1"/>
      <c r="G78" s="1"/>
      <c r="H78" s="135"/>
    </row>
    <row r="79" spans="2:8" x14ac:dyDescent="0.25">
      <c r="B79" s="4">
        <v>56</v>
      </c>
      <c r="C79" s="66"/>
      <c r="D79" s="67"/>
      <c r="E79" s="1"/>
      <c r="F79" s="1"/>
      <c r="G79" s="1"/>
      <c r="H79" s="135"/>
    </row>
    <row r="80" spans="2:8" x14ac:dyDescent="0.25">
      <c r="B80" s="70">
        <v>57</v>
      </c>
      <c r="C80" s="66"/>
      <c r="D80" s="67"/>
      <c r="E80" s="1"/>
      <c r="F80" s="68"/>
      <c r="G80" s="1"/>
      <c r="H80" s="135"/>
    </row>
    <row r="81" spans="2:8" x14ac:dyDescent="0.25">
      <c r="B81" s="70">
        <v>58</v>
      </c>
      <c r="C81" s="66"/>
      <c r="D81" s="67"/>
      <c r="E81" s="1"/>
      <c r="F81" s="68"/>
      <c r="G81" s="1"/>
      <c r="H81" s="135"/>
    </row>
    <row r="82" spans="2:8" x14ac:dyDescent="0.25">
      <c r="B82" s="70">
        <v>59</v>
      </c>
      <c r="C82" s="66"/>
      <c r="D82" s="67"/>
      <c r="E82" s="1"/>
      <c r="F82" s="1"/>
      <c r="G82" s="68"/>
      <c r="H82" s="135"/>
    </row>
    <row r="83" spans="2:8" x14ac:dyDescent="0.25">
      <c r="B83" s="70">
        <v>60</v>
      </c>
      <c r="C83" s="66"/>
      <c r="D83" s="67"/>
      <c r="E83" s="1"/>
      <c r="F83" s="1"/>
      <c r="G83" s="1"/>
      <c r="H83" s="135"/>
    </row>
    <row r="84" spans="2:8" x14ac:dyDescent="0.25">
      <c r="B84" s="4">
        <v>61</v>
      </c>
      <c r="C84" s="66"/>
      <c r="D84" s="67"/>
      <c r="E84" s="1"/>
      <c r="F84" s="1"/>
      <c r="G84" s="1"/>
      <c r="H84" s="135"/>
    </row>
    <row r="85" spans="2:8" x14ac:dyDescent="0.25">
      <c r="B85" s="70">
        <v>62</v>
      </c>
      <c r="D85" s="141"/>
      <c r="E85" s="1"/>
      <c r="F85" s="1"/>
      <c r="G85" s="1"/>
      <c r="H85" s="135"/>
    </row>
    <row r="86" spans="2:8" x14ac:dyDescent="0.25">
      <c r="B86" s="70">
        <v>63</v>
      </c>
      <c r="D86" s="141"/>
      <c r="E86" s="1"/>
      <c r="F86" s="1"/>
      <c r="G86" s="1"/>
      <c r="H86" s="135"/>
    </row>
    <row r="87" spans="2:8" x14ac:dyDescent="0.25">
      <c r="B87" s="70">
        <v>64</v>
      </c>
      <c r="D87" s="141"/>
      <c r="E87" s="1"/>
      <c r="F87" s="1"/>
      <c r="G87" s="1"/>
      <c r="H87" s="135"/>
    </row>
    <row r="88" spans="2:8" x14ac:dyDescent="0.25">
      <c r="B88" s="70">
        <v>65</v>
      </c>
      <c r="D88" s="141"/>
      <c r="E88" s="1"/>
      <c r="F88" s="1"/>
      <c r="G88" s="1"/>
      <c r="H88" s="135"/>
    </row>
    <row r="89" spans="2:8" x14ac:dyDescent="0.25">
      <c r="B89" s="70">
        <v>68</v>
      </c>
      <c r="C89" s="66"/>
      <c r="D89" s="67"/>
      <c r="E89" s="1"/>
      <c r="F89" s="68"/>
      <c r="G89" s="1"/>
      <c r="H89" s="135"/>
    </row>
    <row r="90" spans="2:8" x14ac:dyDescent="0.25">
      <c r="B90" s="70">
        <v>69</v>
      </c>
      <c r="C90" s="66"/>
      <c r="D90" s="67"/>
      <c r="E90" s="1"/>
      <c r="F90" s="68"/>
      <c r="G90" s="1"/>
      <c r="H90" s="135"/>
    </row>
    <row r="91" spans="2:8" x14ac:dyDescent="0.25">
      <c r="B91" s="4">
        <v>66</v>
      </c>
      <c r="C91" s="66"/>
      <c r="D91" s="67"/>
      <c r="E91" s="1"/>
      <c r="F91" s="1"/>
      <c r="G91" s="1"/>
      <c r="H91" s="135"/>
    </row>
    <row r="92" spans="2:8" x14ac:dyDescent="0.25">
      <c r="B92" s="70">
        <v>67</v>
      </c>
      <c r="C92" s="66"/>
      <c r="D92" s="67"/>
      <c r="E92" s="1"/>
      <c r="F92" s="1"/>
      <c r="G92" s="1"/>
      <c r="H92" s="135"/>
    </row>
    <row r="93" spans="2:8" x14ac:dyDescent="0.25">
      <c r="B93" s="70">
        <v>70</v>
      </c>
      <c r="C93" s="66"/>
      <c r="D93" s="67"/>
      <c r="E93" s="1"/>
      <c r="F93" s="68"/>
      <c r="G93" s="1"/>
      <c r="H93" s="135"/>
    </row>
    <row r="94" spans="2:8" x14ac:dyDescent="0.25">
      <c r="B94" s="4">
        <v>71</v>
      </c>
      <c r="C94" s="66"/>
      <c r="D94" s="67"/>
      <c r="E94" s="1"/>
      <c r="F94" s="68"/>
      <c r="G94" s="1"/>
      <c r="H94" s="135"/>
    </row>
    <row r="95" spans="2:8" x14ac:dyDescent="0.25">
      <c r="B95" s="70">
        <v>72</v>
      </c>
      <c r="C95" s="66"/>
      <c r="D95" s="67"/>
      <c r="E95" s="1"/>
      <c r="F95" s="1"/>
      <c r="G95" s="1"/>
      <c r="H95" s="135"/>
    </row>
    <row r="96" spans="2:8" x14ac:dyDescent="0.25">
      <c r="B96" s="70">
        <v>73</v>
      </c>
      <c r="C96" s="66"/>
      <c r="D96" s="67"/>
      <c r="E96" s="1"/>
      <c r="F96" s="1"/>
      <c r="G96" s="1"/>
      <c r="H96" s="135"/>
    </row>
    <row r="97" spans="2:8" x14ac:dyDescent="0.25">
      <c r="B97" s="70">
        <v>74</v>
      </c>
      <c r="C97" s="66"/>
      <c r="D97" s="67"/>
      <c r="E97" s="1"/>
      <c r="F97" s="1"/>
      <c r="G97" s="1"/>
      <c r="H97" s="135"/>
    </row>
    <row r="98" spans="2:8" x14ac:dyDescent="0.25">
      <c r="B98" s="70">
        <v>75</v>
      </c>
      <c r="C98" s="66"/>
      <c r="D98" s="67"/>
      <c r="E98" s="1"/>
      <c r="F98" s="1"/>
      <c r="G98" s="1"/>
      <c r="H98" s="135"/>
    </row>
    <row r="99" spans="2:8" x14ac:dyDescent="0.25">
      <c r="B99" s="4">
        <v>76</v>
      </c>
      <c r="C99" s="66"/>
      <c r="D99" s="67"/>
      <c r="E99" s="1"/>
      <c r="F99" s="1"/>
      <c r="G99" s="1"/>
      <c r="H99" s="135"/>
    </row>
    <row r="100" spans="2:8" x14ac:dyDescent="0.25">
      <c r="B100" s="70">
        <v>77</v>
      </c>
      <c r="C100" s="66"/>
      <c r="D100" s="67"/>
      <c r="E100" s="1"/>
      <c r="F100" s="1"/>
      <c r="G100" s="1"/>
      <c r="H100" s="135"/>
    </row>
    <row r="101" spans="2:8" x14ac:dyDescent="0.25">
      <c r="B101" s="70">
        <v>78</v>
      </c>
      <c r="C101" s="66"/>
      <c r="D101" s="67"/>
      <c r="E101" s="1"/>
      <c r="F101" s="68"/>
      <c r="G101" s="1"/>
      <c r="H101" s="135"/>
    </row>
    <row r="102" spans="2:8" x14ac:dyDescent="0.25">
      <c r="B102" s="70">
        <v>79</v>
      </c>
      <c r="C102" s="66"/>
      <c r="D102" s="67"/>
      <c r="E102" s="1"/>
      <c r="F102" s="68"/>
      <c r="G102" s="1"/>
      <c r="H102" s="135"/>
    </row>
    <row r="103" spans="2:8" x14ac:dyDescent="0.25">
      <c r="B103" s="70">
        <v>80</v>
      </c>
      <c r="C103" s="66"/>
      <c r="D103" s="67"/>
      <c r="E103" s="1"/>
      <c r="F103" s="1"/>
      <c r="G103" s="1"/>
      <c r="H103" s="135"/>
    </row>
    <row r="104" spans="2:8" x14ac:dyDescent="0.25">
      <c r="B104" s="4">
        <v>81</v>
      </c>
      <c r="C104" s="66"/>
      <c r="D104" s="67"/>
      <c r="E104" s="1"/>
      <c r="F104" s="1"/>
      <c r="G104" s="1"/>
      <c r="H104" s="135"/>
    </row>
    <row r="105" spans="2:8" x14ac:dyDescent="0.25">
      <c r="B105" s="70">
        <v>82</v>
      </c>
      <c r="C105" s="66"/>
      <c r="D105" s="67"/>
      <c r="E105" s="1"/>
      <c r="F105" s="1"/>
      <c r="G105" s="1"/>
      <c r="H105" s="135"/>
    </row>
    <row r="106" spans="2:8" x14ac:dyDescent="0.25">
      <c r="B106" s="70">
        <v>83</v>
      </c>
      <c r="C106" s="66"/>
      <c r="D106" s="67"/>
      <c r="E106" s="1"/>
      <c r="F106" s="1"/>
      <c r="G106" s="1"/>
      <c r="H106" s="135"/>
    </row>
    <row r="107" spans="2:8" x14ac:dyDescent="0.25">
      <c r="B107" s="70">
        <v>84</v>
      </c>
      <c r="C107" s="66"/>
      <c r="D107" s="67"/>
      <c r="E107" s="1"/>
      <c r="F107" s="1"/>
      <c r="G107" s="1"/>
      <c r="H107" s="135"/>
    </row>
    <row r="108" spans="2:8" x14ac:dyDescent="0.25">
      <c r="B108" s="70">
        <v>85</v>
      </c>
      <c r="C108" s="66"/>
      <c r="D108" s="67"/>
      <c r="E108" s="1"/>
      <c r="F108" s="68"/>
      <c r="G108" s="1"/>
      <c r="H108" s="135"/>
    </row>
    <row r="109" spans="2:8" x14ac:dyDescent="0.25">
      <c r="B109" s="4">
        <v>86</v>
      </c>
      <c r="C109" s="66"/>
      <c r="D109" s="67"/>
      <c r="E109" s="1"/>
      <c r="F109" s="68"/>
      <c r="G109" s="1"/>
      <c r="H109" s="135"/>
    </row>
    <row r="110" spans="2:8" x14ac:dyDescent="0.25">
      <c r="B110" s="70">
        <v>87</v>
      </c>
      <c r="C110" s="66"/>
      <c r="D110" s="67"/>
      <c r="E110" s="1"/>
      <c r="F110" s="1"/>
      <c r="G110" s="1"/>
      <c r="H110" s="135"/>
    </row>
    <row r="111" spans="2:8" x14ac:dyDescent="0.25">
      <c r="B111" s="70">
        <v>88</v>
      </c>
      <c r="C111" s="66"/>
      <c r="D111" s="67"/>
      <c r="E111" s="1"/>
      <c r="F111" s="1"/>
      <c r="G111" s="1"/>
      <c r="H111" s="5"/>
    </row>
    <row r="112" spans="2:8" x14ac:dyDescent="0.25">
      <c r="B112" s="70">
        <v>89</v>
      </c>
      <c r="C112" s="66"/>
      <c r="D112" s="67"/>
      <c r="E112" s="1"/>
      <c r="F112" s="1"/>
      <c r="G112" s="1"/>
      <c r="H112" s="5"/>
    </row>
    <row r="113" spans="2:8" x14ac:dyDescent="0.25">
      <c r="B113" s="70">
        <v>90</v>
      </c>
      <c r="C113" s="66"/>
      <c r="D113" s="67"/>
      <c r="E113" s="1"/>
      <c r="F113" s="1"/>
      <c r="G113" s="1"/>
      <c r="H113" s="5"/>
    </row>
    <row r="114" spans="2:8" x14ac:dyDescent="0.25">
      <c r="B114" s="4">
        <v>91</v>
      </c>
      <c r="C114" s="66"/>
      <c r="D114" s="67"/>
      <c r="E114" s="1"/>
      <c r="F114" s="1"/>
      <c r="G114" s="1"/>
      <c r="H114" s="5"/>
    </row>
    <row r="115" spans="2:8" x14ac:dyDescent="0.25">
      <c r="B115" s="70">
        <v>92</v>
      </c>
      <c r="C115" s="66"/>
      <c r="D115" s="67"/>
      <c r="E115" s="1"/>
      <c r="F115" s="1"/>
      <c r="G115" s="1"/>
      <c r="H115" s="5"/>
    </row>
    <row r="116" spans="2:8" x14ac:dyDescent="0.25">
      <c r="B116" s="70">
        <v>93</v>
      </c>
      <c r="C116" s="66"/>
      <c r="D116" s="67"/>
      <c r="E116" s="1"/>
      <c r="F116" s="1"/>
      <c r="G116" s="1"/>
      <c r="H116" s="5"/>
    </row>
    <row r="117" spans="2:8" x14ac:dyDescent="0.25">
      <c r="B117" s="70">
        <v>94</v>
      </c>
      <c r="C117" s="66"/>
      <c r="D117" s="67"/>
      <c r="E117" s="1"/>
      <c r="F117" s="1"/>
      <c r="G117" s="1"/>
      <c r="H117" s="5"/>
    </row>
    <row r="118" spans="2:8" x14ac:dyDescent="0.25">
      <c r="B118" s="70">
        <v>95</v>
      </c>
      <c r="C118" s="66"/>
      <c r="D118" s="67"/>
      <c r="E118" s="1"/>
      <c r="F118" s="1"/>
      <c r="G118" s="1"/>
      <c r="H118" s="5"/>
    </row>
    <row r="119" spans="2:8" x14ac:dyDescent="0.25">
      <c r="B119" s="4">
        <v>96</v>
      </c>
      <c r="C119" s="66"/>
      <c r="D119" s="67"/>
      <c r="E119" s="1"/>
      <c r="F119" s="1"/>
      <c r="G119" s="1"/>
      <c r="H119" s="5"/>
    </row>
    <row r="120" spans="2:8" x14ac:dyDescent="0.25">
      <c r="B120" s="70">
        <v>97</v>
      </c>
      <c r="C120" s="66"/>
      <c r="D120" s="67"/>
      <c r="E120" s="1"/>
      <c r="F120" s="1"/>
      <c r="G120" s="1"/>
      <c r="H120" s="5"/>
    </row>
    <row r="121" spans="2:8" x14ac:dyDescent="0.25">
      <c r="B121" s="70">
        <v>98</v>
      </c>
      <c r="C121" s="66"/>
      <c r="D121" s="67"/>
      <c r="E121" s="1"/>
      <c r="F121" s="1"/>
      <c r="G121" s="1"/>
      <c r="H121" s="5"/>
    </row>
    <row r="122" spans="2:8" x14ac:dyDescent="0.25">
      <c r="B122" s="70">
        <v>99</v>
      </c>
      <c r="C122" s="66"/>
      <c r="D122" s="67"/>
      <c r="E122" s="1"/>
      <c r="F122" s="1"/>
      <c r="G122" s="1"/>
      <c r="H122" s="5"/>
    </row>
    <row r="123" spans="2:8" x14ac:dyDescent="0.25">
      <c r="B123" s="70">
        <v>100</v>
      </c>
      <c r="C123" s="66"/>
      <c r="D123" s="67"/>
      <c r="E123" s="1"/>
      <c r="F123" s="1"/>
      <c r="G123" s="1"/>
      <c r="H123" s="5"/>
    </row>
    <row r="124" spans="2:8" x14ac:dyDescent="0.25">
      <c r="B124" s="4">
        <v>101</v>
      </c>
      <c r="C124" s="66"/>
      <c r="D124" s="67"/>
      <c r="E124" s="1"/>
      <c r="F124" s="1"/>
      <c r="G124" s="1"/>
      <c r="H124" s="5"/>
    </row>
    <row r="125" spans="2:8" x14ac:dyDescent="0.25">
      <c r="B125" s="70">
        <v>102</v>
      </c>
      <c r="C125" s="66"/>
      <c r="D125" s="67"/>
      <c r="E125" s="1"/>
      <c r="F125" s="1"/>
      <c r="G125" s="1"/>
      <c r="H125" s="5"/>
    </row>
    <row r="126" spans="2:8" x14ac:dyDescent="0.25">
      <c r="B126" s="70">
        <v>103</v>
      </c>
      <c r="C126" s="66"/>
      <c r="D126" s="67"/>
      <c r="E126" s="1"/>
      <c r="F126" s="1"/>
      <c r="G126" s="1"/>
      <c r="H126" s="5"/>
    </row>
    <row r="127" spans="2:8" x14ac:dyDescent="0.25">
      <c r="B127" s="70">
        <v>104</v>
      </c>
      <c r="C127" s="66"/>
      <c r="D127" s="67"/>
      <c r="E127" s="1"/>
      <c r="F127" s="1"/>
      <c r="G127" s="1"/>
      <c r="H127" s="5"/>
    </row>
    <row r="128" spans="2:8" x14ac:dyDescent="0.25">
      <c r="B128" s="70">
        <v>105</v>
      </c>
      <c r="C128" s="66"/>
      <c r="D128" s="67"/>
      <c r="E128" s="1"/>
      <c r="F128" s="1"/>
      <c r="G128" s="1"/>
      <c r="H128" s="5"/>
    </row>
    <row r="129" spans="2:8" x14ac:dyDescent="0.25">
      <c r="B129" s="4">
        <v>106</v>
      </c>
      <c r="C129" s="66"/>
      <c r="D129" s="67"/>
      <c r="E129" s="1"/>
      <c r="F129" s="1"/>
      <c r="G129" s="1"/>
      <c r="H129" s="5"/>
    </row>
    <row r="130" spans="2:8" x14ac:dyDescent="0.25">
      <c r="B130" s="70">
        <v>107</v>
      </c>
      <c r="C130" s="66"/>
      <c r="D130" s="67"/>
      <c r="E130" s="1"/>
      <c r="F130" s="1"/>
      <c r="G130" s="1"/>
      <c r="H130" s="5"/>
    </row>
    <row r="131" spans="2:8" x14ac:dyDescent="0.25">
      <c r="B131" s="70">
        <v>108</v>
      </c>
      <c r="C131" s="66"/>
      <c r="D131" s="67"/>
      <c r="E131" s="1"/>
      <c r="F131" s="1"/>
      <c r="G131" s="1"/>
      <c r="H131" s="5"/>
    </row>
    <row r="132" spans="2:8" x14ac:dyDescent="0.25">
      <c r="B132" s="70">
        <v>109</v>
      </c>
      <c r="C132" s="66"/>
      <c r="D132" s="67"/>
      <c r="E132" s="1"/>
      <c r="F132" s="1"/>
      <c r="G132" s="1"/>
      <c r="H132" s="5"/>
    </row>
    <row r="133" spans="2:8" x14ac:dyDescent="0.25">
      <c r="B133" s="70">
        <v>110</v>
      </c>
      <c r="C133" s="66"/>
      <c r="D133" s="67"/>
      <c r="E133" s="1"/>
      <c r="F133" s="1"/>
      <c r="G133" s="1"/>
      <c r="H133" s="5"/>
    </row>
    <row r="134" spans="2:8" x14ac:dyDescent="0.25">
      <c r="B134" s="4">
        <v>111</v>
      </c>
      <c r="C134" s="66"/>
      <c r="D134" s="67"/>
      <c r="E134" s="1"/>
      <c r="F134" s="1"/>
      <c r="G134" s="1"/>
      <c r="H134" s="5"/>
    </row>
    <row r="135" spans="2:8" x14ac:dyDescent="0.25">
      <c r="B135" s="70">
        <v>112</v>
      </c>
      <c r="C135" s="66"/>
      <c r="D135" s="67"/>
      <c r="E135" s="1"/>
      <c r="F135" s="1"/>
      <c r="G135" s="1"/>
      <c r="H135" s="5"/>
    </row>
    <row r="136" spans="2:8" x14ac:dyDescent="0.25">
      <c r="B136" s="70">
        <v>113</v>
      </c>
      <c r="C136" s="66"/>
      <c r="D136" s="67"/>
      <c r="E136" s="1"/>
      <c r="F136" s="1"/>
      <c r="G136" s="1"/>
      <c r="H136" s="5"/>
    </row>
    <row r="137" spans="2:8" x14ac:dyDescent="0.25">
      <c r="B137" s="70">
        <v>114</v>
      </c>
      <c r="C137" s="66"/>
      <c r="D137" s="67"/>
      <c r="E137" s="1"/>
      <c r="F137" s="1"/>
      <c r="G137" s="1"/>
      <c r="H137" s="5"/>
    </row>
    <row r="138" spans="2:8" x14ac:dyDescent="0.25">
      <c r="B138" s="70">
        <v>115</v>
      </c>
      <c r="C138" s="66"/>
      <c r="D138" s="67"/>
      <c r="E138" s="1"/>
      <c r="F138" s="1"/>
      <c r="G138" s="1"/>
      <c r="H138" s="5"/>
    </row>
    <row r="139" spans="2:8" x14ac:dyDescent="0.25">
      <c r="B139" s="4">
        <v>116</v>
      </c>
      <c r="C139" s="66"/>
      <c r="D139" s="67"/>
      <c r="E139" s="1"/>
      <c r="F139" s="1"/>
      <c r="G139" s="1"/>
      <c r="H139" s="5"/>
    </row>
    <row r="140" spans="2:8" x14ac:dyDescent="0.25">
      <c r="B140" s="70">
        <v>117</v>
      </c>
      <c r="C140" s="66"/>
      <c r="D140" s="67"/>
      <c r="E140" s="1"/>
      <c r="F140" s="1"/>
      <c r="G140" s="1"/>
      <c r="H140" s="5"/>
    </row>
    <row r="141" spans="2:8" x14ac:dyDescent="0.25">
      <c r="B141" s="70">
        <v>118</v>
      </c>
      <c r="C141" s="66"/>
      <c r="D141" s="67"/>
      <c r="E141" s="1"/>
      <c r="F141" s="1"/>
      <c r="G141" s="1"/>
      <c r="H141" s="5"/>
    </row>
    <row r="142" spans="2:8" x14ac:dyDescent="0.25">
      <c r="B142" s="70">
        <v>119</v>
      </c>
      <c r="C142" s="66"/>
      <c r="D142" s="67"/>
      <c r="E142" s="1"/>
      <c r="F142" s="1"/>
      <c r="G142" s="1"/>
      <c r="H142" s="5"/>
    </row>
    <row r="143" spans="2:8" x14ac:dyDescent="0.25">
      <c r="B143" s="70">
        <v>120</v>
      </c>
      <c r="C143" s="66"/>
      <c r="D143" s="67"/>
      <c r="E143" s="1"/>
      <c r="F143" s="1"/>
      <c r="G143" s="1"/>
      <c r="H143" s="5"/>
    </row>
    <row r="144" spans="2:8" x14ac:dyDescent="0.25">
      <c r="B144" s="4">
        <v>121</v>
      </c>
      <c r="C144" s="66"/>
      <c r="D144" s="67"/>
      <c r="E144" s="1"/>
      <c r="F144" s="1"/>
      <c r="G144" s="1"/>
      <c r="H144" s="5"/>
    </row>
    <row r="145" spans="2:8" x14ac:dyDescent="0.25">
      <c r="B145" s="70">
        <v>122</v>
      </c>
      <c r="C145" s="66"/>
      <c r="D145" s="67"/>
      <c r="E145" s="1"/>
      <c r="F145" s="1"/>
      <c r="G145" s="1"/>
      <c r="H145" s="5"/>
    </row>
    <row r="146" spans="2:8" x14ac:dyDescent="0.25">
      <c r="B146" s="70">
        <v>123</v>
      </c>
      <c r="C146" s="66"/>
      <c r="D146" s="67"/>
      <c r="E146" s="1"/>
      <c r="F146" s="1"/>
      <c r="G146" s="1"/>
      <c r="H146" s="5"/>
    </row>
    <row r="147" spans="2:8" x14ac:dyDescent="0.25">
      <c r="B147" s="70">
        <v>124</v>
      </c>
      <c r="C147" s="66"/>
      <c r="D147" s="67"/>
      <c r="E147" s="1"/>
      <c r="F147" s="1"/>
      <c r="G147" s="1"/>
      <c r="H147" s="5"/>
    </row>
    <row r="148" spans="2:8" x14ac:dyDescent="0.25">
      <c r="B148" s="70">
        <v>125</v>
      </c>
      <c r="C148" s="66"/>
      <c r="D148" s="67"/>
      <c r="E148" s="1"/>
      <c r="F148" s="1"/>
      <c r="G148" s="1"/>
      <c r="H148" s="5"/>
    </row>
    <row r="149" spans="2:8" x14ac:dyDescent="0.25">
      <c r="B149" s="4">
        <v>126</v>
      </c>
      <c r="C149" s="66"/>
      <c r="D149" s="67"/>
      <c r="E149" s="1"/>
      <c r="F149" s="1"/>
      <c r="G149" s="1"/>
      <c r="H149" s="5"/>
    </row>
    <row r="150" spans="2:8" x14ac:dyDescent="0.25">
      <c r="B150" s="70">
        <v>127</v>
      </c>
      <c r="C150" s="66"/>
      <c r="D150" s="67"/>
      <c r="E150" s="1"/>
      <c r="F150" s="1"/>
      <c r="G150" s="1"/>
      <c r="H150" s="5"/>
    </row>
    <row r="151" spans="2:8" x14ac:dyDescent="0.25">
      <c r="B151" s="70">
        <v>128</v>
      </c>
      <c r="C151" s="66"/>
      <c r="D151" s="67"/>
      <c r="E151" s="1"/>
      <c r="F151" s="1"/>
      <c r="G151" s="1"/>
      <c r="H151" s="5"/>
    </row>
    <row r="152" spans="2:8" x14ac:dyDescent="0.25">
      <c r="B152" s="70">
        <v>129</v>
      </c>
      <c r="C152" s="66"/>
      <c r="D152" s="67"/>
      <c r="E152" s="1"/>
      <c r="F152" s="1"/>
      <c r="G152" s="1"/>
      <c r="H152" s="5"/>
    </row>
    <row r="153" spans="2:8" x14ac:dyDescent="0.25">
      <c r="B153" s="70">
        <v>130</v>
      </c>
      <c r="C153" s="66"/>
      <c r="D153" s="67"/>
      <c r="E153" s="1"/>
      <c r="F153" s="1"/>
      <c r="G153" s="1"/>
      <c r="H153" s="5"/>
    </row>
    <row r="154" spans="2:8" x14ac:dyDescent="0.25">
      <c r="B154" s="4">
        <v>131</v>
      </c>
      <c r="C154" s="66"/>
      <c r="D154" s="67"/>
      <c r="E154" s="1"/>
      <c r="F154" s="1"/>
      <c r="G154" s="1"/>
      <c r="H154" s="5"/>
    </row>
    <row r="155" spans="2:8" x14ac:dyDescent="0.25">
      <c r="B155" s="70">
        <v>132</v>
      </c>
      <c r="C155" s="66"/>
      <c r="D155" s="67"/>
      <c r="E155" s="1"/>
      <c r="F155" s="1"/>
      <c r="G155" s="1"/>
      <c r="H155" s="5"/>
    </row>
    <row r="156" spans="2:8" x14ac:dyDescent="0.25">
      <c r="B156" s="70">
        <v>133</v>
      </c>
      <c r="C156" s="66"/>
      <c r="D156" s="67"/>
      <c r="E156" s="1"/>
      <c r="F156" s="1"/>
      <c r="G156" s="1"/>
      <c r="H156" s="5"/>
    </row>
    <row r="157" spans="2:8" x14ac:dyDescent="0.25">
      <c r="B157" s="70">
        <v>134</v>
      </c>
      <c r="C157" s="66"/>
      <c r="D157" s="67"/>
      <c r="E157" s="1"/>
      <c r="F157" s="1"/>
      <c r="G157" s="1"/>
      <c r="H157" s="5"/>
    </row>
    <row r="158" spans="2:8" x14ac:dyDescent="0.25">
      <c r="B158" s="70">
        <v>135</v>
      </c>
      <c r="C158" s="66"/>
      <c r="D158" s="67"/>
      <c r="E158" s="1"/>
      <c r="F158" s="1"/>
      <c r="G158" s="1"/>
      <c r="H158" s="5"/>
    </row>
    <row r="159" spans="2:8" x14ac:dyDescent="0.25">
      <c r="B159" s="4">
        <v>136</v>
      </c>
      <c r="C159" s="66"/>
      <c r="D159" s="67"/>
      <c r="E159" s="1"/>
      <c r="F159" s="1"/>
      <c r="G159" s="1"/>
      <c r="H159" s="5"/>
    </row>
    <row r="160" spans="2:8" x14ac:dyDescent="0.25">
      <c r="B160" s="70">
        <v>137</v>
      </c>
      <c r="C160" s="66"/>
      <c r="D160" s="67"/>
      <c r="E160" s="1"/>
      <c r="F160" s="1"/>
      <c r="G160" s="1"/>
      <c r="H160" s="5"/>
    </row>
    <row r="161" spans="2:10" x14ac:dyDescent="0.25">
      <c r="B161" s="70">
        <v>138</v>
      </c>
      <c r="C161" s="66"/>
      <c r="D161" s="67"/>
      <c r="E161" s="1"/>
      <c r="F161" s="1"/>
      <c r="G161" s="1"/>
      <c r="H161" s="5"/>
    </row>
    <row r="162" spans="2:10" x14ac:dyDescent="0.25">
      <c r="B162" s="70">
        <v>139</v>
      </c>
      <c r="C162" s="66"/>
      <c r="D162" s="67"/>
      <c r="E162" s="1"/>
      <c r="F162" s="1"/>
      <c r="G162" s="1"/>
      <c r="H162" s="5"/>
    </row>
    <row r="163" spans="2:10" x14ac:dyDescent="0.25">
      <c r="B163" s="4">
        <v>140</v>
      </c>
      <c r="C163" s="66"/>
      <c r="D163" s="67"/>
      <c r="E163" s="1"/>
      <c r="F163" s="1"/>
      <c r="G163" s="1"/>
      <c r="H163" s="5"/>
    </row>
    <row r="164" spans="2:10" x14ac:dyDescent="0.25">
      <c r="B164" s="70">
        <v>141</v>
      </c>
      <c r="C164" s="66"/>
      <c r="D164" s="67"/>
      <c r="E164" s="1"/>
      <c r="F164" s="1"/>
      <c r="G164" s="1"/>
      <c r="H164" s="5"/>
    </row>
    <row r="165" spans="2:10" x14ac:dyDescent="0.25">
      <c r="B165" s="70">
        <v>142</v>
      </c>
      <c r="C165" s="66"/>
      <c r="D165" s="67"/>
      <c r="E165" s="1"/>
      <c r="F165" s="1"/>
      <c r="G165" s="1"/>
      <c r="H165" s="5"/>
    </row>
    <row r="166" spans="2:10" x14ac:dyDescent="0.25">
      <c r="B166" s="70">
        <v>143</v>
      </c>
      <c r="C166" s="66"/>
      <c r="D166" s="67"/>
      <c r="E166" s="1"/>
      <c r="F166" s="1"/>
      <c r="G166" s="1"/>
      <c r="H166" s="5"/>
    </row>
    <row r="167" spans="2:10" x14ac:dyDescent="0.25">
      <c r="B167" s="70">
        <v>144</v>
      </c>
      <c r="C167" s="66"/>
      <c r="D167" s="67"/>
      <c r="E167" s="1"/>
      <c r="F167" s="1"/>
      <c r="G167" s="1"/>
      <c r="H167" s="5"/>
    </row>
    <row r="168" spans="2:10" x14ac:dyDescent="0.25">
      <c r="B168" s="4">
        <v>145</v>
      </c>
      <c r="C168" s="66"/>
      <c r="D168" s="67"/>
      <c r="E168" s="1"/>
      <c r="F168" s="1"/>
      <c r="G168" s="1"/>
      <c r="H168" s="5"/>
      <c r="I168" s="1"/>
      <c r="J168" s="1"/>
    </row>
    <row r="169" spans="2:10" x14ac:dyDescent="0.25">
      <c r="B169" s="70">
        <v>146</v>
      </c>
      <c r="C169" s="66"/>
      <c r="D169" s="67"/>
      <c r="E169" s="1"/>
      <c r="F169" s="1"/>
      <c r="G169" s="1"/>
      <c r="H169" s="5"/>
    </row>
    <row r="170" spans="2:10" x14ac:dyDescent="0.25">
      <c r="B170" s="70">
        <v>147</v>
      </c>
      <c r="C170" s="66"/>
      <c r="D170" s="67"/>
      <c r="E170" s="1"/>
      <c r="F170" s="1"/>
      <c r="G170" s="1"/>
      <c r="H170" s="5"/>
    </row>
    <row r="171" spans="2:10" x14ac:dyDescent="0.25">
      <c r="B171" s="70">
        <v>148</v>
      </c>
      <c r="C171" s="66"/>
      <c r="D171" s="67"/>
      <c r="E171" s="1"/>
      <c r="F171" s="1"/>
      <c r="G171" s="1"/>
      <c r="H171" s="5"/>
    </row>
    <row r="172" spans="2:10" x14ac:dyDescent="0.25">
      <c r="B172" s="70">
        <v>149</v>
      </c>
      <c r="C172" s="66"/>
      <c r="D172" s="67"/>
      <c r="E172" s="1"/>
      <c r="F172" s="1"/>
      <c r="G172" s="1"/>
      <c r="H172" s="5"/>
    </row>
    <row r="173" spans="2:10" ht="15.75" thickBot="1" x14ac:dyDescent="0.3">
      <c r="B173" s="8">
        <v>150</v>
      </c>
      <c r="C173" s="133"/>
      <c r="D173" s="134"/>
      <c r="E173" s="9"/>
      <c r="F173" s="9"/>
      <c r="G173" s="9"/>
      <c r="H173" s="10"/>
    </row>
  </sheetData>
  <mergeCells count="6">
    <mergeCell ref="J42:N42"/>
    <mergeCell ref="B1:C1"/>
    <mergeCell ref="B15:H15"/>
    <mergeCell ref="J15:P15"/>
    <mergeCell ref="B22:H22"/>
    <mergeCell ref="J35:N35"/>
  </mergeCells>
  <conditionalFormatting sqref="K39:N40">
    <cfRule type="cellIs" dxfId="100" priority="1" operator="greaterThan">
      <formula>0</formula>
    </cfRule>
    <cfRule type="cellIs" dxfId="99" priority="2" operator="lessThan">
      <formula>0</formula>
    </cfRule>
  </conditionalFormatting>
  <conditionalFormatting sqref="K46:N47">
    <cfRule type="cellIs" dxfId="98" priority="3" operator="greaterThan">
      <formula>0</formula>
    </cfRule>
    <cfRule type="cellIs" dxfId="97" priority="4" operator="lessThan">
      <formula>0</formula>
    </cfRule>
  </conditionalFormatting>
  <dataValidations count="1">
    <dataValidation type="list" allowBlank="1" showInputMessage="1" showErrorMessage="1" sqref="C3" xr:uid="{D8715FCA-9BB6-4D05-9D4A-64EBBA7F1E79}">
      <formula1>"enero,febrero,marzo,abril,mayo,junio,julio,agosto,septiembre,octubre,noviembre,diciembre"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950962-43CE-4F01-932D-98990B7B2AC8}">
          <x14:formula1>
            <xm:f>'Datos - Gastos'!$C$2:$C$12</xm:f>
          </x14:formula1>
          <xm:sqref>E17:E19 E24:E98 E101:E106 E108:E109</xm:sqref>
        </x14:dataValidation>
        <x14:dataValidation type="list" allowBlank="1" showInputMessage="1" showErrorMessage="1" xr:uid="{0FBCF090-C41D-405E-9950-803B5482364C}">
          <x14:formula1>
            <xm:f>'Datos - Gastos'!$A$2:$A$29</xm:f>
          </x14:formula1>
          <xm:sqref>F17:F19 F96:F1048576 F89:F94 F24:F85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F092-0D44-4B3A-96D0-5ED67E4E50D8}">
  <sheetPr>
    <tabColor theme="5" tint="0.79998168889431442"/>
  </sheetPr>
  <dimension ref="B1:Y173"/>
  <sheetViews>
    <sheetView showGridLines="0" topLeftCell="E1" zoomScaleNormal="100" workbookViewId="0">
      <selection activeCell="L27" sqref="L27"/>
    </sheetView>
  </sheetViews>
  <sheetFormatPr baseColWidth="10" defaultRowHeight="15" x14ac:dyDescent="0.25"/>
  <cols>
    <col min="1" max="1" width="2.42578125" customWidth="1"/>
    <col min="2" max="2" width="16.28515625" bestFit="1" customWidth="1"/>
    <col min="3" max="3" width="14.5703125" bestFit="1" customWidth="1"/>
    <col min="4" max="4" width="15.5703125" bestFit="1" customWidth="1"/>
    <col min="5" max="5" width="30.5703125" bestFit="1" customWidth="1"/>
    <col min="6" max="6" width="29.28515625" bestFit="1" customWidth="1"/>
    <col min="7" max="7" width="46" bestFit="1" customWidth="1"/>
    <col min="8" max="8" width="11" style="1" customWidth="1"/>
    <col min="9" max="9" width="6.140625" customWidth="1"/>
    <col min="10" max="10" width="29.28515625" bestFit="1" customWidth="1"/>
    <col min="11" max="11" width="18.42578125" style="1" bestFit="1" customWidth="1"/>
    <col min="12" max="12" width="19" style="1" bestFit="1" customWidth="1"/>
    <col min="13" max="13" width="19.85546875" style="1" bestFit="1" customWidth="1"/>
    <col min="14" max="14" width="29.28515625" style="1" bestFit="1" customWidth="1"/>
    <col min="15" max="15" width="20.85546875" customWidth="1"/>
    <col min="16" max="16" width="18.5703125" customWidth="1"/>
    <col min="17" max="17" width="5" customWidth="1"/>
    <col min="18" max="18" width="27.140625" bestFit="1" customWidth="1"/>
    <col min="19" max="19" width="18.42578125" bestFit="1" customWidth="1"/>
    <col min="20" max="20" width="19" bestFit="1" customWidth="1"/>
    <col min="21" max="21" width="19.85546875" bestFit="1" customWidth="1"/>
    <col min="22" max="22" width="20.42578125" bestFit="1" customWidth="1"/>
    <col min="23" max="23" width="29.7109375" customWidth="1"/>
  </cols>
  <sheetData>
    <row r="1" spans="2:25" ht="15.75" thickBot="1" x14ac:dyDescent="0.3">
      <c r="B1" s="248" t="s">
        <v>155</v>
      </c>
      <c r="C1" s="249"/>
      <c r="J1" s="116" t="s">
        <v>119</v>
      </c>
      <c r="K1" s="117" t="s">
        <v>111</v>
      </c>
      <c r="L1" s="118" t="s">
        <v>112</v>
      </c>
      <c r="M1"/>
      <c r="N1" s="116" t="s">
        <v>120</v>
      </c>
      <c r="O1" s="117" t="s">
        <v>111</v>
      </c>
      <c r="P1" s="118" t="s">
        <v>112</v>
      </c>
      <c r="Q1" s="1"/>
      <c r="R1" s="116" t="s">
        <v>198</v>
      </c>
      <c r="S1" s="117" t="s">
        <v>111</v>
      </c>
      <c r="T1" s="118" t="s">
        <v>112</v>
      </c>
      <c r="Y1" s="126"/>
    </row>
    <row r="2" spans="2:25" x14ac:dyDescent="0.25">
      <c r="B2" s="114" t="s">
        <v>124</v>
      </c>
      <c r="C2" s="74">
        <v>2026</v>
      </c>
      <c r="J2" s="120" t="s">
        <v>110</v>
      </c>
      <c r="K2" s="79">
        <f>'Gastos noviembre'!O2</f>
        <v>10000</v>
      </c>
      <c r="L2" s="121">
        <f>K2*D7</f>
        <v>0</v>
      </c>
      <c r="M2"/>
      <c r="N2" s="120" t="s">
        <v>110</v>
      </c>
      <c r="O2" s="79">
        <f>K2+SUMIF($E$24:$E$173,$N2,$C$24:$C$173)+SUMIF($E$24:$E$173,$N2,$D$24:$D$173)</f>
        <v>10000</v>
      </c>
      <c r="P2" s="121">
        <f>O2*$D$7</f>
        <v>0</v>
      </c>
      <c r="Q2" s="1"/>
      <c r="R2" s="120" t="s">
        <v>110</v>
      </c>
      <c r="S2" s="79">
        <f t="shared" ref="S2:S10" si="0">IFERROR(IF(O2&gt;K2,O2-K2,K2-O2),0)</f>
        <v>0</v>
      </c>
      <c r="T2" s="121">
        <f t="shared" ref="T2:T10" si="1">IFERROR(IF(P2&gt;L2,P2-L2,L2-P2),0)</f>
        <v>0</v>
      </c>
    </row>
    <row r="3" spans="2:25" x14ac:dyDescent="0.25">
      <c r="B3" s="114" t="s">
        <v>125</v>
      </c>
      <c r="C3" s="75" t="s">
        <v>20</v>
      </c>
      <c r="J3" s="120" t="s">
        <v>109</v>
      </c>
      <c r="K3" s="79">
        <f>'Gastos noviembre'!O3</f>
        <v>500</v>
      </c>
      <c r="L3" s="121">
        <f>K3*D7</f>
        <v>0</v>
      </c>
      <c r="M3"/>
      <c r="N3" s="120" t="s">
        <v>109</v>
      </c>
      <c r="O3" s="79">
        <f>K3</f>
        <v>500</v>
      </c>
      <c r="P3" s="121">
        <f>L3+SUMIF($E$24:$E$173,$N3,$C$24:$C$173)+SUMIF($E$24:$E$173,$N3,$D$24:$D$173)</f>
        <v>0</v>
      </c>
      <c r="Q3" s="1"/>
      <c r="R3" s="120" t="s">
        <v>109</v>
      </c>
      <c r="S3" s="79">
        <f t="shared" si="0"/>
        <v>0</v>
      </c>
      <c r="T3" s="121">
        <f t="shared" si="1"/>
        <v>0</v>
      </c>
    </row>
    <row r="4" spans="2:25" x14ac:dyDescent="0.25">
      <c r="B4" s="115" t="s">
        <v>126</v>
      </c>
      <c r="C4" s="76">
        <f>DAY(EOMONTH(DATE($C$2,MATCH($C$3,{"enero";"febrero";"marzo";"abril";"mayo";"junio";"julio";"agosto";"septiembre";"octubre";"noviembre";"diciembre"},0),1),0))</f>
        <v>31</v>
      </c>
      <c r="J4" s="120" t="s">
        <v>108</v>
      </c>
      <c r="K4" s="79" t="str">
        <f>'Gastos noviembre'!O4</f>
        <v/>
      </c>
      <c r="L4" s="121">
        <f>'Gastos noviembre'!P4</f>
        <v>1647262.62</v>
      </c>
      <c r="M4"/>
      <c r="N4" s="120" t="s">
        <v>108</v>
      </c>
      <c r="O4" s="125" t="str">
        <f>IFERROR(P4/$C$8,"")</f>
        <v/>
      </c>
      <c r="P4" s="121">
        <f>L4+SUMIF($E$24:$E$173,$N4,$C$24:$C$173)+SUMIF($E$24:$E$173,$N4,$D$24:$D$173)</f>
        <v>1647262.62</v>
      </c>
      <c r="Q4" s="1"/>
      <c r="R4" s="120" t="s">
        <v>108</v>
      </c>
      <c r="S4" s="79">
        <f t="shared" si="0"/>
        <v>0</v>
      </c>
      <c r="T4" s="121">
        <f t="shared" si="1"/>
        <v>0</v>
      </c>
    </row>
    <row r="5" spans="2:25" x14ac:dyDescent="0.25">
      <c r="J5" s="120" t="s">
        <v>115</v>
      </c>
      <c r="K5" s="79" t="str">
        <f>'Gastos noviembre'!O5</f>
        <v/>
      </c>
      <c r="L5" s="121">
        <f>'Gastos noviembre'!P5</f>
        <v>3896368.7699999996</v>
      </c>
      <c r="M5"/>
      <c r="N5" s="120" t="s">
        <v>115</v>
      </c>
      <c r="O5" s="125" t="str">
        <f>IFERROR(P5/$C$8,"")</f>
        <v/>
      </c>
      <c r="P5" s="121">
        <f>L5+SUMIF($E$24:$E$173,$N5,$C$24:$C$173)+SUMIF($E$24:$E$173,$N5,$D$24:$D$173)</f>
        <v>3896368.7699999996</v>
      </c>
      <c r="Q5" s="1"/>
      <c r="R5" s="120" t="s">
        <v>115</v>
      </c>
      <c r="S5" s="79">
        <f t="shared" si="0"/>
        <v>0</v>
      </c>
      <c r="T5" s="121">
        <f t="shared" si="1"/>
        <v>0</v>
      </c>
    </row>
    <row r="6" spans="2:25" ht="15.75" thickBot="1" x14ac:dyDescent="0.3">
      <c r="B6" s="116" t="s">
        <v>113</v>
      </c>
      <c r="C6" s="117" t="s">
        <v>127</v>
      </c>
      <c r="D6" s="118" t="s">
        <v>128</v>
      </c>
      <c r="E6" s="112"/>
      <c r="J6" s="120" t="s">
        <v>130</v>
      </c>
      <c r="K6" s="79" t="str">
        <f>'Gastos noviembre'!O6</f>
        <v/>
      </c>
      <c r="L6" s="121">
        <f>'Gastos noviembre'!P6</f>
        <v>5648.429999998305</v>
      </c>
      <c r="M6"/>
      <c r="N6" s="120" t="s">
        <v>130</v>
      </c>
      <c r="O6" s="125" t="str">
        <f>IFERROR(P6/$C$8,"")</f>
        <v/>
      </c>
      <c r="P6" s="121">
        <f>L6+SUMIF($E$24:$E$173,$N6,$C$24:$C$173)+SUMIF($E$24:$E$173,$N6,$D$24:$D$173)</f>
        <v>5648.429999998305</v>
      </c>
      <c r="Q6" s="1"/>
      <c r="R6" s="120" t="s">
        <v>130</v>
      </c>
      <c r="S6" s="79">
        <f t="shared" si="0"/>
        <v>0</v>
      </c>
      <c r="T6" s="121">
        <f t="shared" si="1"/>
        <v>0</v>
      </c>
    </row>
    <row r="7" spans="2:25" x14ac:dyDescent="0.25">
      <c r="B7" s="127">
        <f>DATE($C$2,MATCH($C$3,{"enero";"febrero";"marzo";"abril";"mayo";"junio";"julio";"agosto";"septiembre";"octubre";"noviembre";"diciembre"},0),1)</f>
        <v>46357</v>
      </c>
      <c r="C7" s="128"/>
      <c r="D7" s="129"/>
      <c r="E7" s="14"/>
      <c r="J7" s="120" t="s">
        <v>131</v>
      </c>
      <c r="K7" s="79">
        <f>'Gastos noviembre'!O7</f>
        <v>1.8800000000000026</v>
      </c>
      <c r="L7" s="121">
        <f>K7*D7</f>
        <v>0</v>
      </c>
      <c r="M7"/>
      <c r="N7" s="120" t="s">
        <v>131</v>
      </c>
      <c r="O7" s="63">
        <f>K7+SUM(C17:C19)+SUM(D17:D19)</f>
        <v>1.8800000000000026</v>
      </c>
      <c r="P7" s="121">
        <f>O7*$D$8</f>
        <v>0</v>
      </c>
      <c r="Q7" s="1"/>
      <c r="R7" s="120" t="s">
        <v>131</v>
      </c>
      <c r="S7" s="79">
        <f t="shared" si="0"/>
        <v>0</v>
      </c>
      <c r="T7" s="121">
        <f t="shared" si="1"/>
        <v>0</v>
      </c>
    </row>
    <row r="8" spans="2:25" x14ac:dyDescent="0.25">
      <c r="B8" s="119">
        <f>DATE($C$2,MATCH($C$3,{"enero";"febrero";"marzo";"abril";"mayo";"junio";"julio";"agosto";"septiembre";"octubre";"noviembre";"diciembre"},0),C4)</f>
        <v>46387</v>
      </c>
      <c r="C8" s="130"/>
      <c r="D8" s="76"/>
      <c r="J8" s="120" t="s">
        <v>114</v>
      </c>
      <c r="K8" s="79" t="str">
        <f>'Gastos noviembre'!O8</f>
        <v/>
      </c>
      <c r="L8" s="121">
        <f>'Gastos noviembre'!P8</f>
        <v>565.09</v>
      </c>
      <c r="M8"/>
      <c r="N8" s="120" t="s">
        <v>116</v>
      </c>
      <c r="O8" s="125" t="str">
        <f>IFERROR(P8/$C$8,"")</f>
        <v/>
      </c>
      <c r="P8" s="121">
        <f>L8+SUMIF($E$24:$E$173,$N8,$C$24:$C$173)+SUMIF($E$24:$E$173,$N8,$D$24:$D$173)</f>
        <v>565.09</v>
      </c>
      <c r="Q8" s="1"/>
      <c r="R8" s="120" t="s">
        <v>116</v>
      </c>
      <c r="S8" s="79">
        <f t="shared" si="0"/>
        <v>0</v>
      </c>
      <c r="T8" s="121">
        <f t="shared" si="1"/>
        <v>0</v>
      </c>
    </row>
    <row r="9" spans="2:25" x14ac:dyDescent="0.25">
      <c r="J9" s="120" t="s">
        <v>117</v>
      </c>
      <c r="K9" s="79" t="str">
        <f>'Gastos noviembre'!O9</f>
        <v/>
      </c>
      <c r="L9" s="121">
        <f>'Gastos noviembre'!P9</f>
        <v>1.36</v>
      </c>
      <c r="M9"/>
      <c r="N9" s="120" t="s">
        <v>117</v>
      </c>
      <c r="O9" s="125" t="str">
        <f>IFERROR(P9/$C$8,"")</f>
        <v/>
      </c>
      <c r="P9" s="121">
        <f>L9+SUMIF($E$24:$E$173,$N9,$C$24:$C$173)+SUMIF($E$24:$E$173,$N9,$D$24:$D$173)</f>
        <v>1.36</v>
      </c>
      <c r="Q9" s="1"/>
      <c r="R9" s="120" t="s">
        <v>117</v>
      </c>
      <c r="S9" s="79">
        <f t="shared" si="0"/>
        <v>0</v>
      </c>
      <c r="T9" s="121">
        <f t="shared" si="1"/>
        <v>0</v>
      </c>
    </row>
    <row r="10" spans="2:25" x14ac:dyDescent="0.25">
      <c r="J10" s="120" t="s">
        <v>118</v>
      </c>
      <c r="K10" s="79" t="str">
        <f>'Gastos noviembre'!O10</f>
        <v/>
      </c>
      <c r="L10" s="121">
        <f>'Gastos noviembre'!P10</f>
        <v>32600</v>
      </c>
      <c r="M10"/>
      <c r="N10" s="120" t="s">
        <v>118</v>
      </c>
      <c r="O10" s="125" t="str">
        <f>IFERROR(P10/$C$8,"")</f>
        <v/>
      </c>
      <c r="P10" s="121">
        <f>L10+SUMIF($E$24:$E$173,$N10,$C$24:$C$173)+SUMIF($E$24:$E$173,$N10,$D$24:$D$173)</f>
        <v>32600</v>
      </c>
      <c r="Q10" s="1"/>
      <c r="R10" s="120" t="s">
        <v>118</v>
      </c>
      <c r="S10" s="79">
        <f t="shared" si="0"/>
        <v>0</v>
      </c>
      <c r="T10" s="121">
        <f t="shared" si="1"/>
        <v>0</v>
      </c>
    </row>
    <row r="11" spans="2:25" ht="15.75" thickBot="1" x14ac:dyDescent="0.3">
      <c r="J11" s="120"/>
      <c r="K11"/>
      <c r="L11" s="74"/>
      <c r="M11"/>
      <c r="N11" s="120"/>
      <c r="P11" s="74"/>
      <c r="Q11" s="1"/>
      <c r="R11" s="120"/>
      <c r="T11" s="74"/>
    </row>
    <row r="12" spans="2:25" x14ac:dyDescent="0.25">
      <c r="J12" s="122" t="s">
        <v>82</v>
      </c>
      <c r="K12" s="123">
        <f>SUM(K2:K10)</f>
        <v>10501.88</v>
      </c>
      <c r="L12" s="124">
        <f>SUM(L2:L10)</f>
        <v>5582446.2699999986</v>
      </c>
      <c r="M12"/>
      <c r="N12" s="122" t="s">
        <v>82</v>
      </c>
      <c r="O12" s="123">
        <f>SUM(O2:O9)</f>
        <v>10501.88</v>
      </c>
      <c r="P12" s="124">
        <f>SUM(P2:P9)</f>
        <v>5549846.2699999986</v>
      </c>
      <c r="Q12" s="1"/>
      <c r="R12" s="122" t="s">
        <v>82</v>
      </c>
      <c r="S12" s="123">
        <f>SUM(S2:S9)</f>
        <v>0</v>
      </c>
      <c r="T12" s="124">
        <f>SUM(T2:T9)</f>
        <v>0</v>
      </c>
    </row>
    <row r="13" spans="2:25" x14ac:dyDescent="0.25">
      <c r="F13" s="14"/>
    </row>
    <row r="14" spans="2:25" ht="15.75" thickBot="1" x14ac:dyDescent="0.3">
      <c r="F14" s="14"/>
    </row>
    <row r="15" spans="2:25" x14ac:dyDescent="0.25">
      <c r="B15" s="245" t="s">
        <v>180</v>
      </c>
      <c r="C15" s="246"/>
      <c r="D15" s="246"/>
      <c r="E15" s="246"/>
      <c r="F15" s="246"/>
      <c r="G15" s="246"/>
      <c r="H15" s="247"/>
      <c r="J15" s="245" t="s">
        <v>171</v>
      </c>
      <c r="K15" s="246"/>
      <c r="L15" s="246"/>
      <c r="M15" s="246"/>
      <c r="N15" s="246"/>
      <c r="O15" s="246"/>
      <c r="P15" s="247"/>
    </row>
    <row r="16" spans="2:25" x14ac:dyDescent="0.25">
      <c r="B16" s="71" t="s">
        <v>132</v>
      </c>
      <c r="C16" s="72" t="s">
        <v>69</v>
      </c>
      <c r="D16" s="72" t="s">
        <v>122</v>
      </c>
      <c r="E16" s="72" t="s">
        <v>143</v>
      </c>
      <c r="F16" s="72" t="s">
        <v>123</v>
      </c>
      <c r="G16" s="72" t="s">
        <v>129</v>
      </c>
      <c r="H16" s="73" t="s">
        <v>121</v>
      </c>
      <c r="J16" s="82" t="s">
        <v>123</v>
      </c>
      <c r="K16" s="78" t="s">
        <v>170</v>
      </c>
      <c r="L16" s="78" t="s">
        <v>163</v>
      </c>
      <c r="M16" s="78" t="s">
        <v>172</v>
      </c>
      <c r="N16" s="78" t="s">
        <v>173</v>
      </c>
      <c r="P16" s="6"/>
      <c r="Q16" s="112"/>
    </row>
    <row r="17" spans="2:18" x14ac:dyDescent="0.25">
      <c r="B17" s="4">
        <v>1</v>
      </c>
      <c r="C17" s="66"/>
      <c r="D17" s="67"/>
      <c r="E17" s="1"/>
      <c r="F17" s="68"/>
      <c r="G17" s="1"/>
      <c r="H17" s="69"/>
      <c r="J17" s="83" t="s">
        <v>136</v>
      </c>
      <c r="K17" s="63">
        <f>SUMIF($F$24:$F$173,$J17,$D$24:$D$173)</f>
        <v>0</v>
      </c>
      <c r="L17" s="79">
        <f t="shared" ref="L17:L33" si="2">SUMIF($F$24:$F$173,$J17,$C$24:$C$173)</f>
        <v>0</v>
      </c>
      <c r="M17" s="80" t="str">
        <f t="shared" ref="M17:M33" si="3">IFERROR(K17/SUM(K$17:K$32),"")</f>
        <v/>
      </c>
      <c r="N17" s="81" t="str">
        <f t="shared" ref="N17:N33" si="4">IFERROR(L17/SUM(L$17:L$32),"")</f>
        <v/>
      </c>
      <c r="P17" s="6"/>
      <c r="Q17" s="78"/>
    </row>
    <row r="18" spans="2:18" x14ac:dyDescent="0.25">
      <c r="B18" s="70">
        <v>2</v>
      </c>
      <c r="C18" s="66"/>
      <c r="D18" s="67"/>
      <c r="E18" s="1"/>
      <c r="F18" s="68"/>
      <c r="G18" s="68"/>
      <c r="H18" s="69"/>
      <c r="J18" s="83" t="s">
        <v>151</v>
      </c>
      <c r="K18" s="63">
        <f t="shared" ref="K18:K33" si="5">SUMIF($F$24:$F$173,$J18,$C$24:$C$173)+SUMIF($F$24:$F$173,$J18,$D$24:$D$173)</f>
        <v>0</v>
      </c>
      <c r="L18" s="79">
        <f t="shared" si="2"/>
        <v>0</v>
      </c>
      <c r="M18" s="80" t="str">
        <f t="shared" si="3"/>
        <v/>
      </c>
      <c r="N18" s="81" t="str">
        <f t="shared" si="4"/>
        <v/>
      </c>
      <c r="P18" s="6"/>
      <c r="Q18" s="113"/>
    </row>
    <row r="19" spans="2:18" ht="15.75" thickBot="1" x14ac:dyDescent="0.3">
      <c r="B19" s="144">
        <v>3</v>
      </c>
      <c r="C19" s="133"/>
      <c r="D19" s="134"/>
      <c r="E19" s="9"/>
      <c r="F19" s="145"/>
      <c r="G19" s="145"/>
      <c r="H19" s="146"/>
      <c r="J19" s="83" t="s">
        <v>152</v>
      </c>
      <c r="K19" s="63">
        <f t="shared" si="5"/>
        <v>0</v>
      </c>
      <c r="L19" s="79">
        <f t="shared" si="2"/>
        <v>0</v>
      </c>
      <c r="M19" s="80" t="str">
        <f t="shared" si="3"/>
        <v/>
      </c>
      <c r="N19" s="81" t="str">
        <f t="shared" si="4"/>
        <v/>
      </c>
      <c r="P19" s="6"/>
      <c r="Q19" s="113"/>
    </row>
    <row r="20" spans="2:18" x14ac:dyDescent="0.25">
      <c r="J20" s="83" t="s">
        <v>153</v>
      </c>
      <c r="K20" s="63">
        <f t="shared" si="5"/>
        <v>0</v>
      </c>
      <c r="L20" s="79">
        <f t="shared" si="2"/>
        <v>0</v>
      </c>
      <c r="M20" s="80" t="str">
        <f t="shared" si="3"/>
        <v/>
      </c>
      <c r="N20" s="81" t="str">
        <f t="shared" si="4"/>
        <v/>
      </c>
      <c r="P20" s="6"/>
      <c r="Q20" s="113"/>
    </row>
    <row r="21" spans="2:18" ht="15.75" thickBot="1" x14ac:dyDescent="0.3">
      <c r="J21" s="83" t="s">
        <v>154</v>
      </c>
      <c r="K21" s="63">
        <f t="shared" si="5"/>
        <v>0</v>
      </c>
      <c r="L21" s="79">
        <f t="shared" si="2"/>
        <v>0</v>
      </c>
      <c r="M21" s="80" t="str">
        <f t="shared" si="3"/>
        <v/>
      </c>
      <c r="N21" s="81" t="str">
        <f t="shared" si="4"/>
        <v/>
      </c>
      <c r="P21" s="6"/>
    </row>
    <row r="22" spans="2:18" x14ac:dyDescent="0.25">
      <c r="B22" s="245" t="s">
        <v>179</v>
      </c>
      <c r="C22" s="246"/>
      <c r="D22" s="246"/>
      <c r="E22" s="246"/>
      <c r="F22" s="246"/>
      <c r="G22" s="246"/>
      <c r="H22" s="247"/>
      <c r="J22" s="83" t="s">
        <v>137</v>
      </c>
      <c r="K22" s="63">
        <f t="shared" si="5"/>
        <v>0</v>
      </c>
      <c r="L22" s="79">
        <f t="shared" si="2"/>
        <v>0</v>
      </c>
      <c r="M22" s="80" t="str">
        <f t="shared" si="3"/>
        <v/>
      </c>
      <c r="N22" s="81" t="str">
        <f t="shared" si="4"/>
        <v/>
      </c>
      <c r="P22" s="6"/>
    </row>
    <row r="23" spans="2:18" x14ac:dyDescent="0.25">
      <c r="B23" s="71" t="s">
        <v>132</v>
      </c>
      <c r="C23" s="72" t="s">
        <v>69</v>
      </c>
      <c r="D23" s="72" t="s">
        <v>122</v>
      </c>
      <c r="E23" s="72" t="s">
        <v>143</v>
      </c>
      <c r="F23" s="72" t="s">
        <v>123</v>
      </c>
      <c r="G23" s="72" t="s">
        <v>129</v>
      </c>
      <c r="H23" s="73" t="s">
        <v>121</v>
      </c>
      <c r="J23" s="83" t="s">
        <v>138</v>
      </c>
      <c r="K23" s="63">
        <f t="shared" si="5"/>
        <v>0</v>
      </c>
      <c r="L23" s="79">
        <f t="shared" si="2"/>
        <v>0</v>
      </c>
      <c r="M23" s="80" t="str">
        <f t="shared" si="3"/>
        <v/>
      </c>
      <c r="N23" s="81" t="str">
        <f t="shared" si="4"/>
        <v/>
      </c>
      <c r="P23" s="6"/>
    </row>
    <row r="24" spans="2:18" x14ac:dyDescent="0.25">
      <c r="B24" s="4">
        <v>1</v>
      </c>
      <c r="D24" s="67"/>
      <c r="E24" s="1"/>
      <c r="F24" s="68"/>
      <c r="G24" s="1"/>
      <c r="H24" s="69"/>
      <c r="J24" s="83" t="s">
        <v>139</v>
      </c>
      <c r="K24" s="63">
        <f t="shared" si="5"/>
        <v>0</v>
      </c>
      <c r="L24" s="79">
        <f t="shared" si="2"/>
        <v>0</v>
      </c>
      <c r="M24" s="80" t="str">
        <f t="shared" si="3"/>
        <v/>
      </c>
      <c r="N24" s="81" t="str">
        <f t="shared" si="4"/>
        <v/>
      </c>
      <c r="P24" s="6"/>
    </row>
    <row r="25" spans="2:18" x14ac:dyDescent="0.25">
      <c r="B25" s="70">
        <v>2</v>
      </c>
      <c r="C25" s="66"/>
      <c r="D25" s="67"/>
      <c r="E25" s="1"/>
      <c r="F25" s="68"/>
      <c r="G25" s="68"/>
      <c r="H25" s="69"/>
      <c r="J25" s="83" t="s">
        <v>140</v>
      </c>
      <c r="K25" s="63">
        <f t="shared" si="5"/>
        <v>0</v>
      </c>
      <c r="L25" s="79">
        <f t="shared" si="2"/>
        <v>0</v>
      </c>
      <c r="M25" s="80" t="str">
        <f t="shared" si="3"/>
        <v/>
      </c>
      <c r="N25" s="81" t="str">
        <f t="shared" si="4"/>
        <v/>
      </c>
      <c r="P25" s="6"/>
    </row>
    <row r="26" spans="2:18" x14ac:dyDescent="0.25">
      <c r="B26" s="70">
        <v>3</v>
      </c>
      <c r="C26" s="66"/>
      <c r="D26" s="67"/>
      <c r="E26" s="1"/>
      <c r="F26" s="68"/>
      <c r="G26" s="68"/>
      <c r="H26" s="69"/>
      <c r="J26" s="83" t="s">
        <v>141</v>
      </c>
      <c r="K26" s="63">
        <f t="shared" si="5"/>
        <v>0</v>
      </c>
      <c r="L26" s="79">
        <f t="shared" si="2"/>
        <v>0</v>
      </c>
      <c r="M26" s="80" t="str">
        <f t="shared" si="3"/>
        <v/>
      </c>
      <c r="N26" s="81" t="str">
        <f t="shared" si="4"/>
        <v/>
      </c>
      <c r="P26" s="6"/>
      <c r="R26" s="63"/>
    </row>
    <row r="27" spans="2:18" x14ac:dyDescent="0.25">
      <c r="B27" s="70">
        <v>4</v>
      </c>
      <c r="C27" s="66"/>
      <c r="D27" s="67"/>
      <c r="E27" s="1"/>
      <c r="F27" s="68"/>
      <c r="G27" s="68"/>
      <c r="H27" s="69"/>
      <c r="J27" s="83" t="s">
        <v>149</v>
      </c>
      <c r="K27" s="63">
        <f t="shared" si="5"/>
        <v>0</v>
      </c>
      <c r="L27" s="79">
        <f t="shared" si="2"/>
        <v>0</v>
      </c>
      <c r="M27" s="80" t="str">
        <f t="shared" si="3"/>
        <v/>
      </c>
      <c r="N27" s="81" t="str">
        <f t="shared" si="4"/>
        <v/>
      </c>
      <c r="P27" s="6"/>
    </row>
    <row r="28" spans="2:18" x14ac:dyDescent="0.25">
      <c r="B28" s="70">
        <v>5</v>
      </c>
      <c r="C28" s="66"/>
      <c r="D28" s="67"/>
      <c r="E28" s="1"/>
      <c r="F28" s="68"/>
      <c r="G28" s="68"/>
      <c r="H28" s="69"/>
      <c r="J28" s="83" t="s">
        <v>150</v>
      </c>
      <c r="K28" s="63">
        <f t="shared" si="5"/>
        <v>0</v>
      </c>
      <c r="L28" s="79">
        <f t="shared" si="2"/>
        <v>0</v>
      </c>
      <c r="M28" s="80" t="str">
        <f t="shared" si="3"/>
        <v/>
      </c>
      <c r="N28" s="81" t="str">
        <f t="shared" si="4"/>
        <v/>
      </c>
      <c r="P28" s="6"/>
    </row>
    <row r="29" spans="2:18" x14ac:dyDescent="0.25">
      <c r="B29" s="4">
        <v>6</v>
      </c>
      <c r="C29" s="66"/>
      <c r="D29" s="67"/>
      <c r="E29" s="1"/>
      <c r="F29" s="68"/>
      <c r="G29" s="68"/>
      <c r="H29" s="69"/>
      <c r="J29" s="83" t="s">
        <v>158</v>
      </c>
      <c r="K29" s="63">
        <f t="shared" si="5"/>
        <v>0</v>
      </c>
      <c r="L29" s="79">
        <f t="shared" si="2"/>
        <v>0</v>
      </c>
      <c r="M29" s="80" t="str">
        <f t="shared" si="3"/>
        <v/>
      </c>
      <c r="N29" s="81" t="str">
        <f t="shared" si="4"/>
        <v/>
      </c>
      <c r="P29" s="6"/>
    </row>
    <row r="30" spans="2:18" x14ac:dyDescent="0.25">
      <c r="B30" s="70">
        <v>7</v>
      </c>
      <c r="C30" s="66"/>
      <c r="D30" s="67"/>
      <c r="E30" s="1"/>
      <c r="F30" s="68"/>
      <c r="G30" s="68"/>
      <c r="H30" s="69"/>
      <c r="J30" s="83" t="s">
        <v>157</v>
      </c>
      <c r="K30" s="63">
        <f t="shared" si="5"/>
        <v>0</v>
      </c>
      <c r="L30" s="79">
        <f t="shared" si="2"/>
        <v>0</v>
      </c>
      <c r="M30" s="80" t="str">
        <f t="shared" si="3"/>
        <v/>
      </c>
      <c r="N30" s="81" t="str">
        <f t="shared" si="4"/>
        <v/>
      </c>
      <c r="P30" s="6"/>
    </row>
    <row r="31" spans="2:18" x14ac:dyDescent="0.25">
      <c r="B31" s="70">
        <v>8</v>
      </c>
      <c r="C31" s="66"/>
      <c r="D31" s="67"/>
      <c r="E31" s="1"/>
      <c r="F31" s="68"/>
      <c r="G31" s="68"/>
      <c r="H31" s="69"/>
      <c r="J31" s="83" t="s">
        <v>159</v>
      </c>
      <c r="K31" s="63">
        <f t="shared" si="5"/>
        <v>0</v>
      </c>
      <c r="L31" s="79">
        <f t="shared" si="2"/>
        <v>0</v>
      </c>
      <c r="M31" s="80" t="str">
        <f t="shared" si="3"/>
        <v/>
      </c>
      <c r="N31" s="81" t="str">
        <f t="shared" si="4"/>
        <v/>
      </c>
      <c r="P31" s="6"/>
    </row>
    <row r="32" spans="2:18" x14ac:dyDescent="0.25">
      <c r="B32" s="70">
        <v>9</v>
      </c>
      <c r="C32" s="66"/>
      <c r="D32" s="67"/>
      <c r="E32" s="1"/>
      <c r="F32" s="68"/>
      <c r="G32" s="68"/>
      <c r="H32" s="69"/>
      <c r="J32" s="83" t="s">
        <v>167</v>
      </c>
      <c r="K32" s="63">
        <f t="shared" si="5"/>
        <v>0</v>
      </c>
      <c r="L32" s="79">
        <f t="shared" si="2"/>
        <v>0</v>
      </c>
      <c r="M32" s="80" t="str">
        <f t="shared" si="3"/>
        <v/>
      </c>
      <c r="N32" s="81" t="str">
        <f t="shared" si="4"/>
        <v/>
      </c>
      <c r="P32" s="6"/>
    </row>
    <row r="33" spans="2:16" ht="15.75" thickBot="1" x14ac:dyDescent="0.3">
      <c r="B33" s="70">
        <v>10</v>
      </c>
      <c r="C33" s="66"/>
      <c r="D33" s="67"/>
      <c r="E33" s="1"/>
      <c r="F33" s="68"/>
      <c r="G33" s="68"/>
      <c r="H33" s="69"/>
      <c r="J33" s="84" t="s">
        <v>175</v>
      </c>
      <c r="K33" s="85">
        <f t="shared" si="5"/>
        <v>0</v>
      </c>
      <c r="L33" s="86">
        <f t="shared" si="2"/>
        <v>0</v>
      </c>
      <c r="M33" s="87" t="str">
        <f t="shared" si="3"/>
        <v/>
      </c>
      <c r="N33" s="88" t="str">
        <f t="shared" si="4"/>
        <v/>
      </c>
      <c r="O33" s="7"/>
      <c r="P33" s="19"/>
    </row>
    <row r="34" spans="2:16" x14ac:dyDescent="0.25">
      <c r="B34" s="4">
        <v>11</v>
      </c>
      <c r="C34" s="66"/>
      <c r="D34" s="67"/>
      <c r="E34" s="68"/>
      <c r="F34" s="68"/>
      <c r="G34" s="68"/>
      <c r="H34" s="69"/>
    </row>
    <row r="35" spans="2:16" x14ac:dyDescent="0.25">
      <c r="B35" s="70">
        <v>12</v>
      </c>
      <c r="C35" s="66"/>
      <c r="D35" s="67"/>
      <c r="E35" s="68"/>
      <c r="F35" s="68"/>
      <c r="G35" s="68"/>
      <c r="H35" s="69"/>
      <c r="J35" s="250" t="s">
        <v>115</v>
      </c>
      <c r="K35" s="251"/>
      <c r="L35" s="251"/>
      <c r="M35" s="251"/>
      <c r="N35" s="252"/>
    </row>
    <row r="36" spans="2:16" x14ac:dyDescent="0.25">
      <c r="B36" s="70">
        <v>13</v>
      </c>
      <c r="C36" s="66"/>
      <c r="D36" s="67"/>
      <c r="E36" s="68"/>
      <c r="F36" s="68"/>
      <c r="G36" s="68"/>
      <c r="H36" s="69"/>
      <c r="J36" s="83" t="s">
        <v>115</v>
      </c>
      <c r="K36" s="89">
        <v>46272</v>
      </c>
      <c r="L36" s="89">
        <v>46279</v>
      </c>
      <c r="M36" s="89">
        <v>46286</v>
      </c>
      <c r="N36" s="90">
        <v>46293</v>
      </c>
    </row>
    <row r="37" spans="2:16" x14ac:dyDescent="0.25">
      <c r="B37" s="70">
        <v>14</v>
      </c>
      <c r="C37" s="66"/>
      <c r="D37" s="67"/>
      <c r="E37" s="68"/>
      <c r="F37" s="68"/>
      <c r="G37" s="68"/>
      <c r="H37" s="69"/>
      <c r="J37" s="83" t="s">
        <v>183</v>
      </c>
      <c r="K37" s="63">
        <f>$L$5+SUMIFS($C$24:$C$173,$E$24:$E$173,$N5,$H$24:$H$173,"&lt;="&amp;K$36)+SUMIFS($D$24:$D$173,$E$24:$E$173,$N5,$H$24:$H$173,"&lt;="&amp;K$36)</f>
        <v>3896368.7699999996</v>
      </c>
      <c r="L37" s="79">
        <f>$L$5+SUMIFS($C$24:$C$173,$E$24:$E$173,$N5,$H$24:$H$173,"&lt;"&amp;L$36)+SUMIFS($D$24:$D$173,$E$24:$E$173,$N5,$H$24:$H$173,"&lt;="&amp;L$36)</f>
        <v>3896368.7699999996</v>
      </c>
      <c r="M37" s="79">
        <f>$L$5+SUMIFS($C$24:$C$173,$E$24:$E$173,$N5,$H$24:$H$173,"&lt;"&amp;M$36)+SUMIFS($D$24:$D$173,$E$24:$E$173,$N5,$H$24:$H$173,"&lt;="&amp;M$36)</f>
        <v>3896368.7699999996</v>
      </c>
      <c r="N37" s="131">
        <f>$L$5+SUMIFS($C$24:$C$173,$E$24:$E$173,$N5,$H$24:$H$173,"&lt;"&amp;N$36)+SUMIFS($D$24:$D$173,$E$24:$E$173,$N5,$H$24:$H$173,"&lt;="&amp;N$36)</f>
        <v>3896368.7699999996</v>
      </c>
    </row>
    <row r="38" spans="2:16" x14ac:dyDescent="0.25">
      <c r="B38" s="70">
        <v>15</v>
      </c>
      <c r="C38" s="66"/>
      <c r="D38" s="67"/>
      <c r="E38" s="68"/>
      <c r="F38" s="68"/>
      <c r="G38" s="68"/>
      <c r="H38" s="69"/>
      <c r="J38" s="83" t="s">
        <v>184</v>
      </c>
      <c r="K38" s="79"/>
      <c r="L38" s="79"/>
      <c r="M38" s="79"/>
      <c r="N38" s="131"/>
    </row>
    <row r="39" spans="2:16" x14ac:dyDescent="0.25">
      <c r="B39" s="4">
        <v>16</v>
      </c>
      <c r="C39" s="66"/>
      <c r="D39" s="67"/>
      <c r="E39" s="68"/>
      <c r="F39" s="68"/>
      <c r="G39" s="68"/>
      <c r="H39" s="69"/>
      <c r="J39" s="83" t="s">
        <v>185</v>
      </c>
      <c r="K39" s="63" t="str">
        <f>IF(K38="","",K38-K37)</f>
        <v/>
      </c>
      <c r="L39" s="63" t="str">
        <f>IF(L38="","",L38-L37)</f>
        <v/>
      </c>
      <c r="M39" s="63" t="str">
        <f>IF(M38="","",M38-M37)</f>
        <v/>
      </c>
      <c r="N39" s="91" t="str">
        <f>IF(N38="","",N38-N37)</f>
        <v/>
      </c>
    </row>
    <row r="40" spans="2:16" ht="15.75" thickBot="1" x14ac:dyDescent="0.3">
      <c r="B40" s="70">
        <v>17</v>
      </c>
      <c r="C40" s="66"/>
      <c r="D40" s="67"/>
      <c r="E40" s="1"/>
      <c r="F40" s="68"/>
      <c r="G40" s="68"/>
      <c r="H40" s="69"/>
      <c r="J40" s="84" t="s">
        <v>186</v>
      </c>
      <c r="K40" s="92" t="str">
        <f>IF(K39="","",((K38-K37)/K37))</f>
        <v/>
      </c>
      <c r="L40" s="92" t="str">
        <f>IF(L39="","",((L38-L37)/L37))</f>
        <v/>
      </c>
      <c r="M40" s="92" t="str">
        <f>IF(M39="","",((M38-M37)/M37))</f>
        <v/>
      </c>
      <c r="N40" s="93" t="str">
        <f>IF(N39="","",((N38-N37)/N37))</f>
        <v/>
      </c>
    </row>
    <row r="41" spans="2:16" x14ac:dyDescent="0.25">
      <c r="B41" s="70">
        <v>18</v>
      </c>
      <c r="C41" s="66"/>
      <c r="D41" s="67"/>
      <c r="E41" s="1"/>
      <c r="F41" s="68"/>
      <c r="G41" s="68"/>
      <c r="H41" s="69"/>
      <c r="K41"/>
      <c r="L41"/>
      <c r="M41"/>
      <c r="N41"/>
    </row>
    <row r="42" spans="2:16" x14ac:dyDescent="0.25">
      <c r="B42" s="70">
        <v>19</v>
      </c>
      <c r="C42" s="66"/>
      <c r="D42" s="67"/>
      <c r="E42" s="1"/>
      <c r="F42" s="68"/>
      <c r="G42" s="68"/>
      <c r="H42" s="69"/>
      <c r="J42" s="250" t="s">
        <v>195</v>
      </c>
      <c r="K42" s="251"/>
      <c r="L42" s="251"/>
      <c r="M42" s="251"/>
      <c r="N42" s="252"/>
    </row>
    <row r="43" spans="2:16" x14ac:dyDescent="0.25">
      <c r="B43" s="70">
        <v>20</v>
      </c>
      <c r="C43" s="66"/>
      <c r="D43" s="67"/>
      <c r="E43" s="68"/>
      <c r="F43" s="68"/>
      <c r="G43" s="68"/>
      <c r="H43" s="69"/>
      <c r="J43" s="83" t="s">
        <v>121</v>
      </c>
      <c r="K43" s="89">
        <f>K36</f>
        <v>46272</v>
      </c>
      <c r="L43" s="89">
        <f>L36</f>
        <v>46279</v>
      </c>
      <c r="M43" s="89">
        <f>M36</f>
        <v>46286</v>
      </c>
      <c r="N43" s="90">
        <f>N36</f>
        <v>46293</v>
      </c>
    </row>
    <row r="44" spans="2:16" x14ac:dyDescent="0.25">
      <c r="B44" s="4">
        <v>21</v>
      </c>
      <c r="C44" s="66"/>
      <c r="D44" s="67"/>
      <c r="E44" s="68"/>
      <c r="F44" s="68"/>
      <c r="G44" s="68"/>
      <c r="H44" s="69"/>
      <c r="J44" s="83" t="s">
        <v>196</v>
      </c>
      <c r="K44" s="63">
        <f>$L$4+SUMIFS($D$24:$D$173,$G$24:$G$173,"Transferencia a Petrini",$H$24:$H$173,"&lt;"&amp;K$36)*-1+SUMIFS($D$24:$D$173,$G$24:$G$173,"Transferencia de Petrini",$H$24:$H$173,"&lt;"&amp;K$36)</f>
        <v>1647262.62</v>
      </c>
      <c r="L44" s="63">
        <f>$L$4+SUMIFS($D$24:$D$173,$G$24:$G$173,"Transferencia a Petrini",$H$24:$H$173,"&lt;"&amp;L$36)*-1+SUMIFS($D$24:$D$173,$G$24:$G$173,"Transferencia de Petrini",$H$24:$H$173,"&lt;"&amp;L$36)</f>
        <v>1647262.62</v>
      </c>
      <c r="M44" s="63">
        <f>$L$4+SUMIFS($D$24:$D$173,$G$24:$G$173,"Transferencia a Petrini",$H$24:$H$173,"&lt;"&amp;M$36)*-1+SUMIFS($D$24:$D$173,$G$24:$G$173,"Transferencia de Petrini",$H$24:$H$173,"&lt;"&amp;M$36)</f>
        <v>1647262.62</v>
      </c>
      <c r="N44" s="131">
        <f>$L$4+SUMIFS($D$24:$D$173,$G$24:$G$173,"Transferencia a Petrini",$H$24:$H$173,"&lt;"&amp;N$36)*-1+SUMIFS($D$24:$D$173,$G$24:$G$173,"Transferencia de Petrini",$H$24:$H$173,"&lt;"&amp;N$36)</f>
        <v>1647262.62</v>
      </c>
    </row>
    <row r="45" spans="2:16" x14ac:dyDescent="0.25">
      <c r="B45" s="70">
        <v>22</v>
      </c>
      <c r="C45" s="66"/>
      <c r="D45" s="67"/>
      <c r="E45" s="1"/>
      <c r="F45" s="68"/>
      <c r="G45" s="68"/>
      <c r="H45" s="69"/>
      <c r="J45" s="83" t="s">
        <v>197</v>
      </c>
      <c r="K45" s="79"/>
      <c r="L45" s="79"/>
      <c r="M45" s="63"/>
      <c r="N45" s="131"/>
    </row>
    <row r="46" spans="2:16" x14ac:dyDescent="0.25">
      <c r="B46" s="70">
        <v>23</v>
      </c>
      <c r="C46" s="66"/>
      <c r="D46" s="67"/>
      <c r="E46" s="1"/>
      <c r="F46" s="68"/>
      <c r="G46" s="68"/>
      <c r="H46" s="69"/>
      <c r="J46" s="83" t="s">
        <v>185</v>
      </c>
      <c r="K46" s="63" t="str">
        <f>IF(K45="","",K45-K44)</f>
        <v/>
      </c>
      <c r="L46" s="63" t="str">
        <f>IF(L45="","",L45-L44)</f>
        <v/>
      </c>
      <c r="M46" s="63" t="str">
        <f>IF(M45="","",M45-M44)</f>
        <v/>
      </c>
      <c r="N46" s="91" t="str">
        <f>IF(N45="","",N45-N44)</f>
        <v/>
      </c>
    </row>
    <row r="47" spans="2:16" ht="15.75" thickBot="1" x14ac:dyDescent="0.3">
      <c r="B47" s="70">
        <v>24</v>
      </c>
      <c r="C47" s="66"/>
      <c r="D47" s="67"/>
      <c r="E47" s="1"/>
      <c r="F47" s="68"/>
      <c r="G47" s="1"/>
      <c r="H47" s="69"/>
      <c r="J47" s="84" t="s">
        <v>186</v>
      </c>
      <c r="K47" s="92" t="str">
        <f>IF(K46="","",((K45-K44)/K44))</f>
        <v/>
      </c>
      <c r="L47" s="92" t="str">
        <f>IF(L46="","",((L45-L44)/L44))</f>
        <v/>
      </c>
      <c r="M47" s="92" t="str">
        <f>IF(M46="","",((M45-M44)/M44))</f>
        <v/>
      </c>
      <c r="N47" s="93" t="str">
        <f>IF(N46="","",((N45-N44)/N44))</f>
        <v/>
      </c>
    </row>
    <row r="48" spans="2:16" x14ac:dyDescent="0.25">
      <c r="B48" s="70">
        <v>25</v>
      </c>
      <c r="C48" s="66"/>
      <c r="D48" s="67"/>
      <c r="E48" s="1"/>
      <c r="F48" s="68"/>
      <c r="G48" s="68"/>
      <c r="H48" s="69"/>
    </row>
    <row r="49" spans="2:11" x14ac:dyDescent="0.25">
      <c r="B49" s="4">
        <v>26</v>
      </c>
      <c r="C49" s="66"/>
      <c r="D49" s="67"/>
      <c r="E49" s="1"/>
      <c r="F49" s="68"/>
      <c r="G49" s="68"/>
      <c r="H49" s="69"/>
    </row>
    <row r="50" spans="2:11" x14ac:dyDescent="0.25">
      <c r="B50" s="70">
        <v>27</v>
      </c>
      <c r="C50" s="66"/>
      <c r="D50" s="67"/>
      <c r="E50" s="1"/>
      <c r="F50" s="68"/>
      <c r="G50" s="68"/>
      <c r="H50" s="69"/>
      <c r="K50" s="137"/>
    </row>
    <row r="51" spans="2:11" x14ac:dyDescent="0.25">
      <c r="B51" s="70">
        <v>28</v>
      </c>
      <c r="C51" s="66"/>
      <c r="D51" s="67"/>
      <c r="E51" s="1"/>
      <c r="F51" s="68"/>
      <c r="G51" s="68"/>
      <c r="H51" s="69"/>
    </row>
    <row r="52" spans="2:11" x14ac:dyDescent="0.25">
      <c r="B52" s="70">
        <v>29</v>
      </c>
      <c r="C52" s="66"/>
      <c r="D52" s="67"/>
      <c r="E52" s="68"/>
      <c r="F52" s="68"/>
      <c r="G52" s="68"/>
      <c r="H52" s="69"/>
    </row>
    <row r="53" spans="2:11" x14ac:dyDescent="0.25">
      <c r="B53" s="70">
        <v>30</v>
      </c>
      <c r="C53" s="66"/>
      <c r="D53" s="67"/>
      <c r="E53" s="68"/>
      <c r="F53" s="68"/>
      <c r="G53" s="68"/>
      <c r="H53" s="69"/>
    </row>
    <row r="54" spans="2:11" x14ac:dyDescent="0.25">
      <c r="B54" s="4">
        <v>31</v>
      </c>
      <c r="C54" s="66"/>
      <c r="D54" s="67"/>
      <c r="E54" s="68"/>
      <c r="F54" s="68"/>
      <c r="G54" s="68"/>
      <c r="H54" s="69"/>
    </row>
    <row r="55" spans="2:11" x14ac:dyDescent="0.25">
      <c r="B55" s="70">
        <v>32</v>
      </c>
      <c r="C55" s="66"/>
      <c r="D55" s="67"/>
      <c r="E55" s="1"/>
      <c r="F55" s="68"/>
      <c r="G55" s="68"/>
      <c r="H55" s="69"/>
    </row>
    <row r="56" spans="2:11" x14ac:dyDescent="0.25">
      <c r="B56" s="70">
        <v>33</v>
      </c>
      <c r="C56" s="66"/>
      <c r="D56" s="67"/>
      <c r="E56" s="1"/>
      <c r="F56" s="68"/>
      <c r="G56" s="1"/>
      <c r="H56" s="69"/>
    </row>
    <row r="57" spans="2:11" x14ac:dyDescent="0.25">
      <c r="B57" s="70">
        <v>34</v>
      </c>
      <c r="C57" s="66"/>
      <c r="D57" s="67"/>
      <c r="E57" s="1"/>
      <c r="F57" s="68"/>
      <c r="G57" s="68"/>
      <c r="H57" s="69"/>
    </row>
    <row r="58" spans="2:11" x14ac:dyDescent="0.25">
      <c r="B58" s="70">
        <v>35</v>
      </c>
      <c r="C58" s="66"/>
      <c r="D58" s="67"/>
      <c r="E58" s="1"/>
      <c r="F58" s="1"/>
      <c r="G58" s="1"/>
      <c r="H58" s="69"/>
    </row>
    <row r="59" spans="2:11" x14ac:dyDescent="0.25">
      <c r="B59" s="4">
        <v>36</v>
      </c>
      <c r="C59" s="66"/>
      <c r="D59" s="67"/>
      <c r="E59" s="1"/>
      <c r="F59" s="1"/>
      <c r="G59" s="1"/>
      <c r="H59" s="69"/>
    </row>
    <row r="60" spans="2:11" x14ac:dyDescent="0.25">
      <c r="B60" s="70">
        <v>37</v>
      </c>
      <c r="C60" s="66"/>
      <c r="D60" s="67"/>
      <c r="E60" s="1"/>
      <c r="F60" s="1"/>
      <c r="G60" s="1"/>
      <c r="H60" s="69"/>
    </row>
    <row r="61" spans="2:11" x14ac:dyDescent="0.25">
      <c r="B61" s="70">
        <v>38</v>
      </c>
      <c r="C61" s="66"/>
      <c r="D61" s="67"/>
      <c r="E61" s="1"/>
      <c r="F61" s="1"/>
      <c r="G61" s="1"/>
      <c r="H61" s="69"/>
    </row>
    <row r="62" spans="2:11" x14ac:dyDescent="0.25">
      <c r="B62" s="70">
        <v>39</v>
      </c>
      <c r="C62" s="66"/>
      <c r="D62" s="67"/>
      <c r="E62" s="1"/>
      <c r="F62" s="1"/>
      <c r="G62" s="1"/>
      <c r="H62" s="69"/>
    </row>
    <row r="63" spans="2:11" x14ac:dyDescent="0.25">
      <c r="B63" s="70">
        <v>40</v>
      </c>
      <c r="C63" s="66"/>
      <c r="D63" s="67"/>
      <c r="E63" s="1"/>
      <c r="F63" s="68"/>
      <c r="G63" s="1"/>
      <c r="H63" s="135"/>
    </row>
    <row r="64" spans="2:11" x14ac:dyDescent="0.25">
      <c r="B64" s="4">
        <v>41</v>
      </c>
      <c r="C64" s="66"/>
      <c r="D64" s="67"/>
      <c r="E64" s="1"/>
      <c r="F64" s="68"/>
      <c r="G64" s="1"/>
      <c r="H64" s="135"/>
    </row>
    <row r="65" spans="2:8" x14ac:dyDescent="0.25">
      <c r="B65" s="70">
        <v>42</v>
      </c>
      <c r="C65" s="66"/>
      <c r="D65" s="67"/>
      <c r="E65" s="1"/>
      <c r="F65" s="1"/>
      <c r="G65" s="1"/>
      <c r="H65" s="135"/>
    </row>
    <row r="66" spans="2:8" x14ac:dyDescent="0.25">
      <c r="B66" s="70">
        <v>43</v>
      </c>
      <c r="C66" s="66"/>
      <c r="D66" s="67"/>
      <c r="E66" s="1"/>
      <c r="F66" s="1"/>
      <c r="G66" s="1"/>
      <c r="H66" s="135"/>
    </row>
    <row r="67" spans="2:8" x14ac:dyDescent="0.25">
      <c r="B67" s="70">
        <v>44</v>
      </c>
      <c r="C67" s="66"/>
      <c r="D67" s="67"/>
      <c r="E67" s="1"/>
      <c r="F67" s="68"/>
      <c r="G67" s="136"/>
      <c r="H67" s="135"/>
    </row>
    <row r="68" spans="2:8" x14ac:dyDescent="0.25">
      <c r="B68" s="70">
        <v>45</v>
      </c>
      <c r="C68" s="66"/>
      <c r="D68" s="67"/>
      <c r="E68" s="1"/>
      <c r="F68" s="68"/>
      <c r="G68" s="136"/>
      <c r="H68" s="135"/>
    </row>
    <row r="69" spans="2:8" x14ac:dyDescent="0.25">
      <c r="B69" s="4">
        <v>46</v>
      </c>
      <c r="C69" s="66"/>
      <c r="D69" s="67"/>
      <c r="E69" s="1"/>
      <c r="F69" s="1"/>
      <c r="G69" s="1"/>
      <c r="H69" s="135"/>
    </row>
    <row r="70" spans="2:8" x14ac:dyDescent="0.25">
      <c r="B70" s="70">
        <v>47</v>
      </c>
      <c r="C70" s="66"/>
      <c r="D70" s="67"/>
      <c r="E70" s="1"/>
      <c r="F70" s="1"/>
      <c r="G70" s="68"/>
      <c r="H70" s="135"/>
    </row>
    <row r="71" spans="2:8" x14ac:dyDescent="0.25">
      <c r="B71" s="70">
        <v>48</v>
      </c>
      <c r="C71" s="66"/>
      <c r="D71" s="67"/>
      <c r="E71" s="1"/>
      <c r="F71" s="1"/>
      <c r="G71" s="68"/>
      <c r="H71" s="135"/>
    </row>
    <row r="72" spans="2:8" x14ac:dyDescent="0.25">
      <c r="B72" s="70">
        <v>49</v>
      </c>
      <c r="C72" s="66"/>
      <c r="D72" s="67"/>
      <c r="E72" s="1"/>
      <c r="F72" s="1"/>
      <c r="G72" s="1"/>
      <c r="H72" s="135"/>
    </row>
    <row r="73" spans="2:8" x14ac:dyDescent="0.25">
      <c r="B73" s="70">
        <v>50</v>
      </c>
      <c r="C73" s="66"/>
      <c r="D73" s="67"/>
      <c r="E73" s="1"/>
      <c r="F73" s="1"/>
      <c r="G73" s="1"/>
      <c r="H73" s="135"/>
    </row>
    <row r="74" spans="2:8" x14ac:dyDescent="0.25">
      <c r="B74" s="4">
        <v>51</v>
      </c>
      <c r="C74" s="66"/>
      <c r="D74" s="67"/>
      <c r="E74" s="1"/>
      <c r="F74" s="1"/>
      <c r="G74" s="1"/>
      <c r="H74" s="135"/>
    </row>
    <row r="75" spans="2:8" x14ac:dyDescent="0.25">
      <c r="B75" s="70">
        <v>52</v>
      </c>
      <c r="C75" s="66"/>
      <c r="D75" s="67"/>
      <c r="E75" s="1"/>
      <c r="F75" s="1"/>
      <c r="G75" s="1"/>
      <c r="H75" s="135"/>
    </row>
    <row r="76" spans="2:8" x14ac:dyDescent="0.25">
      <c r="B76" s="70">
        <v>53</v>
      </c>
      <c r="C76" s="66"/>
      <c r="D76" s="67"/>
      <c r="E76" s="1"/>
      <c r="F76" s="1"/>
      <c r="G76" s="1"/>
      <c r="H76" s="135"/>
    </row>
    <row r="77" spans="2:8" x14ac:dyDescent="0.25">
      <c r="B77" s="70">
        <v>54</v>
      </c>
      <c r="C77" s="66"/>
      <c r="D77" s="67"/>
      <c r="E77" s="1"/>
      <c r="F77" s="1"/>
      <c r="G77" s="1"/>
      <c r="H77" s="135"/>
    </row>
    <row r="78" spans="2:8" x14ac:dyDescent="0.25">
      <c r="B78" s="70">
        <v>55</v>
      </c>
      <c r="C78" s="66"/>
      <c r="D78" s="67"/>
      <c r="E78" s="1"/>
      <c r="F78" s="1"/>
      <c r="G78" s="1"/>
      <c r="H78" s="135"/>
    </row>
    <row r="79" spans="2:8" x14ac:dyDescent="0.25">
      <c r="B79" s="4">
        <v>56</v>
      </c>
      <c r="C79" s="66"/>
      <c r="D79" s="67"/>
      <c r="E79" s="1"/>
      <c r="F79" s="1"/>
      <c r="G79" s="1"/>
      <c r="H79" s="135"/>
    </row>
    <row r="80" spans="2:8" x14ac:dyDescent="0.25">
      <c r="B80" s="70">
        <v>57</v>
      </c>
      <c r="C80" s="66"/>
      <c r="D80" s="67"/>
      <c r="E80" s="1"/>
      <c r="F80" s="68"/>
      <c r="G80" s="1"/>
      <c r="H80" s="135"/>
    </row>
    <row r="81" spans="2:8" x14ac:dyDescent="0.25">
      <c r="B81" s="70">
        <v>58</v>
      </c>
      <c r="C81" s="66"/>
      <c r="D81" s="67"/>
      <c r="E81" s="1"/>
      <c r="F81" s="68"/>
      <c r="G81" s="1"/>
      <c r="H81" s="135"/>
    </row>
    <row r="82" spans="2:8" x14ac:dyDescent="0.25">
      <c r="B82" s="70">
        <v>59</v>
      </c>
      <c r="C82" s="66"/>
      <c r="D82" s="67"/>
      <c r="E82" s="1"/>
      <c r="F82" s="1"/>
      <c r="G82" s="68"/>
      <c r="H82" s="135"/>
    </row>
    <row r="83" spans="2:8" x14ac:dyDescent="0.25">
      <c r="B83" s="70">
        <v>60</v>
      </c>
      <c r="C83" s="66"/>
      <c r="D83" s="67"/>
      <c r="E83" s="1"/>
      <c r="F83" s="1"/>
      <c r="G83" s="1"/>
      <c r="H83" s="135"/>
    </row>
    <row r="84" spans="2:8" x14ac:dyDescent="0.25">
      <c r="B84" s="4">
        <v>61</v>
      </c>
      <c r="C84" s="66"/>
      <c r="D84" s="67"/>
      <c r="E84" s="1"/>
      <c r="F84" s="1"/>
      <c r="G84" s="1"/>
      <c r="H84" s="135"/>
    </row>
    <row r="85" spans="2:8" x14ac:dyDescent="0.25">
      <c r="B85" s="70">
        <v>62</v>
      </c>
      <c r="D85" s="141"/>
      <c r="E85" s="1"/>
      <c r="F85" s="1"/>
      <c r="G85" s="1"/>
      <c r="H85" s="135"/>
    </row>
    <row r="86" spans="2:8" x14ac:dyDescent="0.25">
      <c r="B86" s="70">
        <v>63</v>
      </c>
      <c r="D86" s="141"/>
      <c r="E86" s="1"/>
      <c r="F86" s="1"/>
      <c r="G86" s="1"/>
      <c r="H86" s="135"/>
    </row>
    <row r="87" spans="2:8" x14ac:dyDescent="0.25">
      <c r="B87" s="70">
        <v>64</v>
      </c>
      <c r="D87" s="141"/>
      <c r="E87" s="1"/>
      <c r="F87" s="1"/>
      <c r="G87" s="1"/>
      <c r="H87" s="135"/>
    </row>
    <row r="88" spans="2:8" x14ac:dyDescent="0.25">
      <c r="B88" s="70">
        <v>65</v>
      </c>
      <c r="D88" s="141"/>
      <c r="E88" s="1"/>
      <c r="F88" s="1"/>
      <c r="G88" s="1"/>
      <c r="H88" s="135"/>
    </row>
    <row r="89" spans="2:8" x14ac:dyDescent="0.25">
      <c r="B89" s="70">
        <v>68</v>
      </c>
      <c r="C89" s="66"/>
      <c r="D89" s="67"/>
      <c r="E89" s="1"/>
      <c r="F89" s="68"/>
      <c r="G89" s="1"/>
      <c r="H89" s="135"/>
    </row>
    <row r="90" spans="2:8" x14ac:dyDescent="0.25">
      <c r="B90" s="70">
        <v>69</v>
      </c>
      <c r="C90" s="66"/>
      <c r="D90" s="67"/>
      <c r="E90" s="1"/>
      <c r="F90" s="68"/>
      <c r="G90" s="1"/>
      <c r="H90" s="135"/>
    </row>
    <row r="91" spans="2:8" x14ac:dyDescent="0.25">
      <c r="B91" s="4">
        <v>66</v>
      </c>
      <c r="C91" s="66"/>
      <c r="D91" s="67"/>
      <c r="E91" s="1"/>
      <c r="F91" s="1"/>
      <c r="G91" s="1"/>
      <c r="H91" s="135"/>
    </row>
    <row r="92" spans="2:8" x14ac:dyDescent="0.25">
      <c r="B92" s="70">
        <v>67</v>
      </c>
      <c r="C92" s="66"/>
      <c r="D92" s="67"/>
      <c r="E92" s="1"/>
      <c r="F92" s="1"/>
      <c r="G92" s="1"/>
      <c r="H92" s="135"/>
    </row>
    <row r="93" spans="2:8" x14ac:dyDescent="0.25">
      <c r="B93" s="70">
        <v>70</v>
      </c>
      <c r="C93" s="66"/>
      <c r="D93" s="67"/>
      <c r="E93" s="1"/>
      <c r="F93" s="68"/>
      <c r="G93" s="1"/>
      <c r="H93" s="135"/>
    </row>
    <row r="94" spans="2:8" x14ac:dyDescent="0.25">
      <c r="B94" s="4">
        <v>71</v>
      </c>
      <c r="C94" s="66"/>
      <c r="D94" s="67"/>
      <c r="E94" s="1"/>
      <c r="F94" s="68"/>
      <c r="G94" s="1"/>
      <c r="H94" s="135"/>
    </row>
    <row r="95" spans="2:8" x14ac:dyDescent="0.25">
      <c r="B95" s="70">
        <v>72</v>
      </c>
      <c r="C95" s="66"/>
      <c r="D95" s="67"/>
      <c r="E95" s="1"/>
      <c r="F95" s="1"/>
      <c r="G95" s="1"/>
      <c r="H95" s="135"/>
    </row>
    <row r="96" spans="2:8" x14ac:dyDescent="0.25">
      <c r="B96" s="70">
        <v>73</v>
      </c>
      <c r="C96" s="66"/>
      <c r="D96" s="67"/>
      <c r="E96" s="1"/>
      <c r="F96" s="1"/>
      <c r="G96" s="1"/>
      <c r="H96" s="135"/>
    </row>
    <row r="97" spans="2:8" x14ac:dyDescent="0.25">
      <c r="B97" s="70">
        <v>74</v>
      </c>
      <c r="C97" s="66"/>
      <c r="D97" s="67"/>
      <c r="E97" s="1"/>
      <c r="F97" s="1"/>
      <c r="G97" s="1"/>
      <c r="H97" s="135"/>
    </row>
    <row r="98" spans="2:8" x14ac:dyDescent="0.25">
      <c r="B98" s="70">
        <v>75</v>
      </c>
      <c r="C98" s="66"/>
      <c r="D98" s="67"/>
      <c r="E98" s="1"/>
      <c r="F98" s="1"/>
      <c r="G98" s="1"/>
      <c r="H98" s="135"/>
    </row>
    <row r="99" spans="2:8" x14ac:dyDescent="0.25">
      <c r="B99" s="4">
        <v>76</v>
      </c>
      <c r="C99" s="66"/>
      <c r="D99" s="67"/>
      <c r="E99" s="1"/>
      <c r="F99" s="1"/>
      <c r="G99" s="1"/>
      <c r="H99" s="135"/>
    </row>
    <row r="100" spans="2:8" x14ac:dyDescent="0.25">
      <c r="B100" s="70">
        <v>77</v>
      </c>
      <c r="C100" s="66"/>
      <c r="D100" s="67"/>
      <c r="E100" s="1"/>
      <c r="F100" s="1"/>
      <c r="G100" s="1"/>
      <c r="H100" s="135"/>
    </row>
    <row r="101" spans="2:8" x14ac:dyDescent="0.25">
      <c r="B101" s="70">
        <v>78</v>
      </c>
      <c r="C101" s="66"/>
      <c r="D101" s="67"/>
      <c r="E101" s="1"/>
      <c r="F101" s="68"/>
      <c r="G101" s="1"/>
      <c r="H101" s="135"/>
    </row>
    <row r="102" spans="2:8" x14ac:dyDescent="0.25">
      <c r="B102" s="70">
        <v>79</v>
      </c>
      <c r="C102" s="66"/>
      <c r="D102" s="67"/>
      <c r="E102" s="1"/>
      <c r="F102" s="68"/>
      <c r="G102" s="1"/>
      <c r="H102" s="135"/>
    </row>
    <row r="103" spans="2:8" x14ac:dyDescent="0.25">
      <c r="B103" s="70">
        <v>80</v>
      </c>
      <c r="C103" s="66"/>
      <c r="D103" s="67"/>
      <c r="E103" s="1"/>
      <c r="F103" s="1"/>
      <c r="G103" s="1"/>
      <c r="H103" s="135"/>
    </row>
    <row r="104" spans="2:8" x14ac:dyDescent="0.25">
      <c r="B104" s="4">
        <v>81</v>
      </c>
      <c r="C104" s="66"/>
      <c r="D104" s="67"/>
      <c r="E104" s="1"/>
      <c r="F104" s="1"/>
      <c r="G104" s="1"/>
      <c r="H104" s="135"/>
    </row>
    <row r="105" spans="2:8" x14ac:dyDescent="0.25">
      <c r="B105" s="70">
        <v>82</v>
      </c>
      <c r="C105" s="66"/>
      <c r="D105" s="67"/>
      <c r="E105" s="1"/>
      <c r="F105" s="1"/>
      <c r="G105" s="1"/>
      <c r="H105" s="135"/>
    </row>
    <row r="106" spans="2:8" x14ac:dyDescent="0.25">
      <c r="B106" s="70">
        <v>83</v>
      </c>
      <c r="C106" s="66"/>
      <c r="D106" s="67"/>
      <c r="E106" s="1"/>
      <c r="F106" s="1"/>
      <c r="G106" s="1"/>
      <c r="H106" s="135"/>
    </row>
    <row r="107" spans="2:8" x14ac:dyDescent="0.25">
      <c r="B107" s="70">
        <v>84</v>
      </c>
      <c r="C107" s="66"/>
      <c r="D107" s="67"/>
      <c r="E107" s="1"/>
      <c r="F107" s="1"/>
      <c r="G107" s="1"/>
      <c r="H107" s="135"/>
    </row>
    <row r="108" spans="2:8" x14ac:dyDescent="0.25">
      <c r="B108" s="70">
        <v>85</v>
      </c>
      <c r="C108" s="66"/>
      <c r="D108" s="67"/>
      <c r="E108" s="1"/>
      <c r="F108" s="68"/>
      <c r="G108" s="1"/>
      <c r="H108" s="135"/>
    </row>
    <row r="109" spans="2:8" x14ac:dyDescent="0.25">
      <c r="B109" s="4">
        <v>86</v>
      </c>
      <c r="C109" s="66"/>
      <c r="D109" s="67"/>
      <c r="E109" s="1"/>
      <c r="F109" s="68"/>
      <c r="G109" s="1"/>
      <c r="H109" s="135"/>
    </row>
    <row r="110" spans="2:8" x14ac:dyDescent="0.25">
      <c r="B110" s="70">
        <v>87</v>
      </c>
      <c r="C110" s="66"/>
      <c r="D110" s="67"/>
      <c r="E110" s="1"/>
      <c r="F110" s="1"/>
      <c r="G110" s="1"/>
      <c r="H110" s="135"/>
    </row>
    <row r="111" spans="2:8" x14ac:dyDescent="0.25">
      <c r="B111" s="70">
        <v>88</v>
      </c>
      <c r="C111" s="66"/>
      <c r="D111" s="67"/>
      <c r="E111" s="1"/>
      <c r="F111" s="1"/>
      <c r="G111" s="1"/>
      <c r="H111" s="5"/>
    </row>
    <row r="112" spans="2:8" x14ac:dyDescent="0.25">
      <c r="B112" s="70">
        <v>89</v>
      </c>
      <c r="C112" s="66"/>
      <c r="D112" s="67"/>
      <c r="E112" s="1"/>
      <c r="F112" s="1"/>
      <c r="G112" s="1"/>
      <c r="H112" s="5"/>
    </row>
    <row r="113" spans="2:8" x14ac:dyDescent="0.25">
      <c r="B113" s="70">
        <v>90</v>
      </c>
      <c r="C113" s="66"/>
      <c r="D113" s="67"/>
      <c r="E113" s="1"/>
      <c r="F113" s="1"/>
      <c r="G113" s="1"/>
      <c r="H113" s="5"/>
    </row>
    <row r="114" spans="2:8" x14ac:dyDescent="0.25">
      <c r="B114" s="4">
        <v>91</v>
      </c>
      <c r="C114" s="66"/>
      <c r="D114" s="67"/>
      <c r="E114" s="1"/>
      <c r="F114" s="1"/>
      <c r="G114" s="1"/>
      <c r="H114" s="5"/>
    </row>
    <row r="115" spans="2:8" x14ac:dyDescent="0.25">
      <c r="B115" s="70">
        <v>92</v>
      </c>
      <c r="C115" s="66"/>
      <c r="D115" s="67"/>
      <c r="E115" s="1"/>
      <c r="F115" s="1"/>
      <c r="G115" s="1"/>
      <c r="H115" s="5"/>
    </row>
    <row r="116" spans="2:8" x14ac:dyDescent="0.25">
      <c r="B116" s="70">
        <v>93</v>
      </c>
      <c r="C116" s="66"/>
      <c r="D116" s="67"/>
      <c r="E116" s="1"/>
      <c r="F116" s="1"/>
      <c r="G116" s="1"/>
      <c r="H116" s="5"/>
    </row>
    <row r="117" spans="2:8" x14ac:dyDescent="0.25">
      <c r="B117" s="70">
        <v>94</v>
      </c>
      <c r="C117" s="66"/>
      <c r="D117" s="67"/>
      <c r="E117" s="1"/>
      <c r="F117" s="1"/>
      <c r="G117" s="1"/>
      <c r="H117" s="5"/>
    </row>
    <row r="118" spans="2:8" x14ac:dyDescent="0.25">
      <c r="B118" s="70">
        <v>95</v>
      </c>
      <c r="C118" s="66"/>
      <c r="D118" s="67"/>
      <c r="E118" s="1"/>
      <c r="F118" s="1"/>
      <c r="G118" s="1"/>
      <c r="H118" s="5"/>
    </row>
    <row r="119" spans="2:8" x14ac:dyDescent="0.25">
      <c r="B119" s="4">
        <v>96</v>
      </c>
      <c r="C119" s="66"/>
      <c r="D119" s="67"/>
      <c r="E119" s="1"/>
      <c r="F119" s="1"/>
      <c r="G119" s="1"/>
      <c r="H119" s="5"/>
    </row>
    <row r="120" spans="2:8" x14ac:dyDescent="0.25">
      <c r="B120" s="70">
        <v>97</v>
      </c>
      <c r="C120" s="66"/>
      <c r="D120" s="67"/>
      <c r="E120" s="1"/>
      <c r="F120" s="1"/>
      <c r="G120" s="1"/>
      <c r="H120" s="5"/>
    </row>
    <row r="121" spans="2:8" x14ac:dyDescent="0.25">
      <c r="B121" s="70">
        <v>98</v>
      </c>
      <c r="C121" s="66"/>
      <c r="D121" s="67"/>
      <c r="E121" s="1"/>
      <c r="F121" s="1"/>
      <c r="G121" s="1"/>
      <c r="H121" s="5"/>
    </row>
    <row r="122" spans="2:8" x14ac:dyDescent="0.25">
      <c r="B122" s="70">
        <v>99</v>
      </c>
      <c r="C122" s="66"/>
      <c r="D122" s="67"/>
      <c r="E122" s="1"/>
      <c r="F122" s="1"/>
      <c r="G122" s="1"/>
      <c r="H122" s="5"/>
    </row>
    <row r="123" spans="2:8" x14ac:dyDescent="0.25">
      <c r="B123" s="70">
        <v>100</v>
      </c>
      <c r="C123" s="66"/>
      <c r="D123" s="67"/>
      <c r="E123" s="1"/>
      <c r="F123" s="1"/>
      <c r="G123" s="1"/>
      <c r="H123" s="5"/>
    </row>
    <row r="124" spans="2:8" x14ac:dyDescent="0.25">
      <c r="B124" s="4">
        <v>101</v>
      </c>
      <c r="C124" s="66"/>
      <c r="D124" s="67"/>
      <c r="E124" s="1"/>
      <c r="F124" s="1"/>
      <c r="G124" s="1"/>
      <c r="H124" s="5"/>
    </row>
    <row r="125" spans="2:8" x14ac:dyDescent="0.25">
      <c r="B125" s="70">
        <v>102</v>
      </c>
      <c r="C125" s="66"/>
      <c r="D125" s="67"/>
      <c r="E125" s="1"/>
      <c r="F125" s="1"/>
      <c r="G125" s="1"/>
      <c r="H125" s="5"/>
    </row>
    <row r="126" spans="2:8" x14ac:dyDescent="0.25">
      <c r="B126" s="70">
        <v>103</v>
      </c>
      <c r="C126" s="66"/>
      <c r="D126" s="67"/>
      <c r="E126" s="1"/>
      <c r="F126" s="1"/>
      <c r="G126" s="1"/>
      <c r="H126" s="5"/>
    </row>
    <row r="127" spans="2:8" x14ac:dyDescent="0.25">
      <c r="B127" s="70">
        <v>104</v>
      </c>
      <c r="C127" s="66"/>
      <c r="D127" s="67"/>
      <c r="E127" s="1"/>
      <c r="F127" s="1"/>
      <c r="G127" s="1"/>
      <c r="H127" s="5"/>
    </row>
    <row r="128" spans="2:8" x14ac:dyDescent="0.25">
      <c r="B128" s="70">
        <v>105</v>
      </c>
      <c r="C128" s="66"/>
      <c r="D128" s="67"/>
      <c r="E128" s="1"/>
      <c r="F128" s="1"/>
      <c r="G128" s="1"/>
      <c r="H128" s="5"/>
    </row>
    <row r="129" spans="2:8" x14ac:dyDescent="0.25">
      <c r="B129" s="4">
        <v>106</v>
      </c>
      <c r="C129" s="66"/>
      <c r="D129" s="67"/>
      <c r="E129" s="1"/>
      <c r="F129" s="1"/>
      <c r="G129" s="1"/>
      <c r="H129" s="5"/>
    </row>
    <row r="130" spans="2:8" x14ac:dyDescent="0.25">
      <c r="B130" s="70">
        <v>107</v>
      </c>
      <c r="C130" s="66"/>
      <c r="D130" s="67"/>
      <c r="E130" s="1"/>
      <c r="F130" s="1"/>
      <c r="G130" s="1"/>
      <c r="H130" s="5"/>
    </row>
    <row r="131" spans="2:8" x14ac:dyDescent="0.25">
      <c r="B131" s="70">
        <v>108</v>
      </c>
      <c r="C131" s="66"/>
      <c r="D131" s="67"/>
      <c r="E131" s="1"/>
      <c r="F131" s="1"/>
      <c r="G131" s="1"/>
      <c r="H131" s="5"/>
    </row>
    <row r="132" spans="2:8" x14ac:dyDescent="0.25">
      <c r="B132" s="70">
        <v>109</v>
      </c>
      <c r="C132" s="66"/>
      <c r="D132" s="67"/>
      <c r="E132" s="1"/>
      <c r="F132" s="1"/>
      <c r="G132" s="1"/>
      <c r="H132" s="5"/>
    </row>
    <row r="133" spans="2:8" x14ac:dyDescent="0.25">
      <c r="B133" s="70">
        <v>110</v>
      </c>
      <c r="C133" s="66"/>
      <c r="D133" s="67"/>
      <c r="E133" s="1"/>
      <c r="F133" s="1"/>
      <c r="G133" s="1"/>
      <c r="H133" s="5"/>
    </row>
    <row r="134" spans="2:8" x14ac:dyDescent="0.25">
      <c r="B134" s="4">
        <v>111</v>
      </c>
      <c r="C134" s="66"/>
      <c r="D134" s="67"/>
      <c r="E134" s="1"/>
      <c r="F134" s="1"/>
      <c r="G134" s="1"/>
      <c r="H134" s="5"/>
    </row>
    <row r="135" spans="2:8" x14ac:dyDescent="0.25">
      <c r="B135" s="70">
        <v>112</v>
      </c>
      <c r="C135" s="66"/>
      <c r="D135" s="67"/>
      <c r="E135" s="1"/>
      <c r="F135" s="1"/>
      <c r="G135" s="1"/>
      <c r="H135" s="5"/>
    </row>
    <row r="136" spans="2:8" x14ac:dyDescent="0.25">
      <c r="B136" s="70">
        <v>113</v>
      </c>
      <c r="C136" s="66"/>
      <c r="D136" s="67"/>
      <c r="E136" s="1"/>
      <c r="F136" s="1"/>
      <c r="G136" s="1"/>
      <c r="H136" s="5"/>
    </row>
    <row r="137" spans="2:8" x14ac:dyDescent="0.25">
      <c r="B137" s="70">
        <v>114</v>
      </c>
      <c r="C137" s="66"/>
      <c r="D137" s="67"/>
      <c r="E137" s="1"/>
      <c r="F137" s="1"/>
      <c r="G137" s="1"/>
      <c r="H137" s="5"/>
    </row>
    <row r="138" spans="2:8" x14ac:dyDescent="0.25">
      <c r="B138" s="70">
        <v>115</v>
      </c>
      <c r="C138" s="66"/>
      <c r="D138" s="67"/>
      <c r="E138" s="1"/>
      <c r="F138" s="1"/>
      <c r="G138" s="1"/>
      <c r="H138" s="5"/>
    </row>
    <row r="139" spans="2:8" x14ac:dyDescent="0.25">
      <c r="B139" s="4">
        <v>116</v>
      </c>
      <c r="C139" s="66"/>
      <c r="D139" s="67"/>
      <c r="E139" s="1"/>
      <c r="F139" s="1"/>
      <c r="G139" s="1"/>
      <c r="H139" s="5"/>
    </row>
    <row r="140" spans="2:8" x14ac:dyDescent="0.25">
      <c r="B140" s="70">
        <v>117</v>
      </c>
      <c r="C140" s="66"/>
      <c r="D140" s="67"/>
      <c r="E140" s="1"/>
      <c r="F140" s="1"/>
      <c r="G140" s="1"/>
      <c r="H140" s="5"/>
    </row>
    <row r="141" spans="2:8" x14ac:dyDescent="0.25">
      <c r="B141" s="70">
        <v>118</v>
      </c>
      <c r="C141" s="66"/>
      <c r="D141" s="67"/>
      <c r="E141" s="1"/>
      <c r="F141" s="1"/>
      <c r="G141" s="1"/>
      <c r="H141" s="5"/>
    </row>
    <row r="142" spans="2:8" x14ac:dyDescent="0.25">
      <c r="B142" s="70">
        <v>119</v>
      </c>
      <c r="C142" s="66"/>
      <c r="D142" s="67"/>
      <c r="E142" s="1"/>
      <c r="F142" s="1"/>
      <c r="G142" s="1"/>
      <c r="H142" s="5"/>
    </row>
    <row r="143" spans="2:8" x14ac:dyDescent="0.25">
      <c r="B143" s="70">
        <v>120</v>
      </c>
      <c r="C143" s="66"/>
      <c r="D143" s="67"/>
      <c r="E143" s="1"/>
      <c r="F143" s="1"/>
      <c r="G143" s="1"/>
      <c r="H143" s="5"/>
    </row>
    <row r="144" spans="2:8" x14ac:dyDescent="0.25">
      <c r="B144" s="4">
        <v>121</v>
      </c>
      <c r="C144" s="66"/>
      <c r="D144" s="67"/>
      <c r="E144" s="1"/>
      <c r="F144" s="1"/>
      <c r="G144" s="1"/>
      <c r="H144" s="5"/>
    </row>
    <row r="145" spans="2:8" x14ac:dyDescent="0.25">
      <c r="B145" s="70">
        <v>122</v>
      </c>
      <c r="C145" s="66"/>
      <c r="D145" s="67"/>
      <c r="E145" s="1"/>
      <c r="F145" s="1"/>
      <c r="G145" s="1"/>
      <c r="H145" s="5"/>
    </row>
    <row r="146" spans="2:8" x14ac:dyDescent="0.25">
      <c r="B146" s="70">
        <v>123</v>
      </c>
      <c r="C146" s="66"/>
      <c r="D146" s="67"/>
      <c r="E146" s="1"/>
      <c r="F146" s="1"/>
      <c r="G146" s="1"/>
      <c r="H146" s="5"/>
    </row>
    <row r="147" spans="2:8" x14ac:dyDescent="0.25">
      <c r="B147" s="70">
        <v>124</v>
      </c>
      <c r="C147" s="66"/>
      <c r="D147" s="67"/>
      <c r="E147" s="1"/>
      <c r="F147" s="1"/>
      <c r="G147" s="1"/>
      <c r="H147" s="5"/>
    </row>
    <row r="148" spans="2:8" x14ac:dyDescent="0.25">
      <c r="B148" s="70">
        <v>125</v>
      </c>
      <c r="C148" s="66"/>
      <c r="D148" s="67"/>
      <c r="E148" s="1"/>
      <c r="F148" s="1"/>
      <c r="G148" s="1"/>
      <c r="H148" s="5"/>
    </row>
    <row r="149" spans="2:8" x14ac:dyDescent="0.25">
      <c r="B149" s="4">
        <v>126</v>
      </c>
      <c r="C149" s="66"/>
      <c r="D149" s="67"/>
      <c r="E149" s="1"/>
      <c r="F149" s="1"/>
      <c r="G149" s="1"/>
      <c r="H149" s="5"/>
    </row>
    <row r="150" spans="2:8" x14ac:dyDescent="0.25">
      <c r="B150" s="70">
        <v>127</v>
      </c>
      <c r="C150" s="66"/>
      <c r="D150" s="67"/>
      <c r="E150" s="1"/>
      <c r="F150" s="1"/>
      <c r="G150" s="1"/>
      <c r="H150" s="5"/>
    </row>
    <row r="151" spans="2:8" x14ac:dyDescent="0.25">
      <c r="B151" s="70">
        <v>128</v>
      </c>
      <c r="C151" s="66"/>
      <c r="D151" s="67"/>
      <c r="E151" s="1"/>
      <c r="F151" s="1"/>
      <c r="G151" s="1"/>
      <c r="H151" s="5"/>
    </row>
    <row r="152" spans="2:8" x14ac:dyDescent="0.25">
      <c r="B152" s="70">
        <v>129</v>
      </c>
      <c r="C152" s="66"/>
      <c r="D152" s="67"/>
      <c r="E152" s="1"/>
      <c r="F152" s="1"/>
      <c r="G152" s="1"/>
      <c r="H152" s="5"/>
    </row>
    <row r="153" spans="2:8" x14ac:dyDescent="0.25">
      <c r="B153" s="70">
        <v>130</v>
      </c>
      <c r="C153" s="66"/>
      <c r="D153" s="67"/>
      <c r="E153" s="1"/>
      <c r="F153" s="1"/>
      <c r="G153" s="1"/>
      <c r="H153" s="5"/>
    </row>
    <row r="154" spans="2:8" x14ac:dyDescent="0.25">
      <c r="B154" s="4">
        <v>131</v>
      </c>
      <c r="C154" s="66"/>
      <c r="D154" s="67"/>
      <c r="E154" s="1"/>
      <c r="F154" s="1"/>
      <c r="G154" s="1"/>
      <c r="H154" s="5"/>
    </row>
    <row r="155" spans="2:8" x14ac:dyDescent="0.25">
      <c r="B155" s="70">
        <v>132</v>
      </c>
      <c r="C155" s="66"/>
      <c r="D155" s="67"/>
      <c r="E155" s="1"/>
      <c r="F155" s="1"/>
      <c r="G155" s="1"/>
      <c r="H155" s="5"/>
    </row>
    <row r="156" spans="2:8" x14ac:dyDescent="0.25">
      <c r="B156" s="70">
        <v>133</v>
      </c>
      <c r="C156" s="66"/>
      <c r="D156" s="67"/>
      <c r="E156" s="1"/>
      <c r="F156" s="1"/>
      <c r="G156" s="1"/>
      <c r="H156" s="5"/>
    </row>
    <row r="157" spans="2:8" x14ac:dyDescent="0.25">
      <c r="B157" s="70">
        <v>134</v>
      </c>
      <c r="C157" s="66"/>
      <c r="D157" s="67"/>
      <c r="E157" s="1"/>
      <c r="F157" s="1"/>
      <c r="G157" s="1"/>
      <c r="H157" s="5"/>
    </row>
    <row r="158" spans="2:8" x14ac:dyDescent="0.25">
      <c r="B158" s="70">
        <v>135</v>
      </c>
      <c r="C158" s="66"/>
      <c r="D158" s="67"/>
      <c r="E158" s="1"/>
      <c r="F158" s="1"/>
      <c r="G158" s="1"/>
      <c r="H158" s="5"/>
    </row>
    <row r="159" spans="2:8" x14ac:dyDescent="0.25">
      <c r="B159" s="4">
        <v>136</v>
      </c>
      <c r="C159" s="66"/>
      <c r="D159" s="67"/>
      <c r="E159" s="1"/>
      <c r="F159" s="1"/>
      <c r="G159" s="1"/>
      <c r="H159" s="5"/>
    </row>
    <row r="160" spans="2:8" x14ac:dyDescent="0.25">
      <c r="B160" s="70">
        <v>137</v>
      </c>
      <c r="C160" s="66"/>
      <c r="D160" s="67"/>
      <c r="E160" s="1"/>
      <c r="F160" s="1"/>
      <c r="G160" s="1"/>
      <c r="H160" s="5"/>
    </row>
    <row r="161" spans="2:10" x14ac:dyDescent="0.25">
      <c r="B161" s="70">
        <v>138</v>
      </c>
      <c r="C161" s="66"/>
      <c r="D161" s="67"/>
      <c r="E161" s="1"/>
      <c r="F161" s="1"/>
      <c r="G161" s="1"/>
      <c r="H161" s="5"/>
    </row>
    <row r="162" spans="2:10" x14ac:dyDescent="0.25">
      <c r="B162" s="70">
        <v>139</v>
      </c>
      <c r="C162" s="66"/>
      <c r="D162" s="67"/>
      <c r="E162" s="1"/>
      <c r="F162" s="1"/>
      <c r="G162" s="1"/>
      <c r="H162" s="5"/>
    </row>
    <row r="163" spans="2:10" x14ac:dyDescent="0.25">
      <c r="B163" s="4">
        <v>140</v>
      </c>
      <c r="C163" s="66"/>
      <c r="D163" s="67"/>
      <c r="E163" s="1"/>
      <c r="F163" s="1"/>
      <c r="G163" s="1"/>
      <c r="H163" s="5"/>
    </row>
    <row r="164" spans="2:10" x14ac:dyDescent="0.25">
      <c r="B164" s="70">
        <v>141</v>
      </c>
      <c r="C164" s="66"/>
      <c r="D164" s="67"/>
      <c r="E164" s="1"/>
      <c r="F164" s="1"/>
      <c r="G164" s="1"/>
      <c r="H164" s="5"/>
    </row>
    <row r="165" spans="2:10" x14ac:dyDescent="0.25">
      <c r="B165" s="70">
        <v>142</v>
      </c>
      <c r="C165" s="66"/>
      <c r="D165" s="67"/>
      <c r="E165" s="1"/>
      <c r="F165" s="1"/>
      <c r="G165" s="1"/>
      <c r="H165" s="5"/>
    </row>
    <row r="166" spans="2:10" x14ac:dyDescent="0.25">
      <c r="B166" s="70">
        <v>143</v>
      </c>
      <c r="C166" s="66"/>
      <c r="D166" s="67"/>
      <c r="E166" s="1"/>
      <c r="F166" s="1"/>
      <c r="G166" s="1"/>
      <c r="H166" s="5"/>
    </row>
    <row r="167" spans="2:10" x14ac:dyDescent="0.25">
      <c r="B167" s="70">
        <v>144</v>
      </c>
      <c r="C167" s="66"/>
      <c r="D167" s="67"/>
      <c r="E167" s="1"/>
      <c r="F167" s="1"/>
      <c r="G167" s="1"/>
      <c r="H167" s="5"/>
    </row>
    <row r="168" spans="2:10" x14ac:dyDescent="0.25">
      <c r="B168" s="4">
        <v>145</v>
      </c>
      <c r="C168" s="66"/>
      <c r="D168" s="67"/>
      <c r="E168" s="1"/>
      <c r="F168" s="1"/>
      <c r="G168" s="1"/>
      <c r="H168" s="5"/>
      <c r="I168" s="1"/>
      <c r="J168" s="1"/>
    </row>
    <row r="169" spans="2:10" x14ac:dyDescent="0.25">
      <c r="B169" s="70">
        <v>146</v>
      </c>
      <c r="C169" s="66"/>
      <c r="D169" s="67"/>
      <c r="E169" s="1"/>
      <c r="F169" s="1"/>
      <c r="G169" s="1"/>
      <c r="H169" s="5"/>
    </row>
    <row r="170" spans="2:10" x14ac:dyDescent="0.25">
      <c r="B170" s="70">
        <v>147</v>
      </c>
      <c r="C170" s="66"/>
      <c r="D170" s="67"/>
      <c r="E170" s="1"/>
      <c r="F170" s="1"/>
      <c r="G170" s="1"/>
      <c r="H170" s="5"/>
    </row>
    <row r="171" spans="2:10" x14ac:dyDescent="0.25">
      <c r="B171" s="70">
        <v>148</v>
      </c>
      <c r="C171" s="66"/>
      <c r="D171" s="67"/>
      <c r="E171" s="1"/>
      <c r="F171" s="1"/>
      <c r="G171" s="1"/>
      <c r="H171" s="5"/>
    </row>
    <row r="172" spans="2:10" x14ac:dyDescent="0.25">
      <c r="B172" s="70">
        <v>149</v>
      </c>
      <c r="C172" s="66"/>
      <c r="D172" s="67"/>
      <c r="E172" s="1"/>
      <c r="F172" s="1"/>
      <c r="G172" s="1"/>
      <c r="H172" s="5"/>
    </row>
    <row r="173" spans="2:10" ht="15.75" thickBot="1" x14ac:dyDescent="0.3">
      <c r="B173" s="8">
        <v>150</v>
      </c>
      <c r="C173" s="133"/>
      <c r="D173" s="134"/>
      <c r="E173" s="9"/>
      <c r="F173" s="9"/>
      <c r="G173" s="9"/>
      <c r="H173" s="10"/>
    </row>
  </sheetData>
  <mergeCells count="6">
    <mergeCell ref="J42:N42"/>
    <mergeCell ref="B1:C1"/>
    <mergeCell ref="B15:H15"/>
    <mergeCell ref="J15:P15"/>
    <mergeCell ref="B22:H22"/>
    <mergeCell ref="J35:N35"/>
  </mergeCells>
  <conditionalFormatting sqref="K39:N40">
    <cfRule type="cellIs" dxfId="96" priority="1" operator="greaterThan">
      <formula>0</formula>
    </cfRule>
    <cfRule type="cellIs" dxfId="95" priority="2" operator="lessThan">
      <formula>0</formula>
    </cfRule>
  </conditionalFormatting>
  <conditionalFormatting sqref="K46:N47">
    <cfRule type="cellIs" dxfId="94" priority="3" operator="greaterThan">
      <formula>0</formula>
    </cfRule>
    <cfRule type="cellIs" dxfId="93" priority="4" operator="lessThan">
      <formula>0</formula>
    </cfRule>
  </conditionalFormatting>
  <dataValidations count="1">
    <dataValidation type="list" allowBlank="1" showInputMessage="1" showErrorMessage="1" sqref="C3" xr:uid="{7A721266-BCFB-4629-816A-DC96774940E5}">
      <formula1>"enero,febrero,marzo,abril,mayo,junio,julio,agosto,septiembre,octubre,noviembre,diciembre"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BFC5AB4-56C0-4027-8C52-CC0A6BD2718B}">
          <x14:formula1>
            <xm:f>'Datos - Gastos'!$C$2:$C$12</xm:f>
          </x14:formula1>
          <xm:sqref>E17:E19 E24:E98 E101:E106 E108:E109</xm:sqref>
        </x14:dataValidation>
        <x14:dataValidation type="list" allowBlank="1" showInputMessage="1" showErrorMessage="1" xr:uid="{12AC2EB5-55A4-4897-826C-B1485A489D1D}">
          <x14:formula1>
            <xm:f>'Datos - Gastos'!$A$2:$A$29</xm:f>
          </x14:formula1>
          <xm:sqref>F17:F19 F96:F1048576 F89:F94 F24:F85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AF93-E6D7-457E-B7AD-5F6FF005E17E}">
  <sheetPr codeName="Hoja4">
    <tabColor theme="5" tint="-0.499984740745262"/>
  </sheetPr>
  <dimension ref="B2:I32"/>
  <sheetViews>
    <sheetView workbookViewId="0">
      <pane ySplit="4" topLeftCell="A5" activePane="bottomLeft" state="frozen"/>
      <selection pane="bottomLeft" activeCell="J6" sqref="J6"/>
    </sheetView>
  </sheetViews>
  <sheetFormatPr baseColWidth="10" defaultRowHeight="15" x14ac:dyDescent="0.25"/>
  <cols>
    <col min="2" max="2" width="38.140625" customWidth="1"/>
    <col min="3" max="9" width="20" customWidth="1"/>
  </cols>
  <sheetData>
    <row r="2" spans="2:9" x14ac:dyDescent="0.25">
      <c r="B2" s="253" t="s">
        <v>355</v>
      </c>
      <c r="C2" s="253"/>
      <c r="D2" s="253"/>
      <c r="E2" s="253"/>
      <c r="F2" s="253"/>
      <c r="G2" s="253"/>
      <c r="H2" s="253"/>
      <c r="I2" s="253"/>
    </row>
    <row r="3" spans="2:9" ht="15.75" thickBot="1" x14ac:dyDescent="0.3"/>
    <row r="4" spans="2:9" ht="15.75" thickBot="1" x14ac:dyDescent="0.3">
      <c r="B4" s="182" t="s">
        <v>123</v>
      </c>
      <c r="C4" s="183" t="s">
        <v>15</v>
      </c>
      <c r="D4" s="183" t="s">
        <v>16</v>
      </c>
      <c r="E4" s="183" t="s">
        <v>17</v>
      </c>
      <c r="F4" s="183" t="s">
        <v>18</v>
      </c>
      <c r="G4" s="183" t="s">
        <v>19</v>
      </c>
      <c r="H4" s="183" t="s">
        <v>20</v>
      </c>
      <c r="I4" s="184" t="s">
        <v>356</v>
      </c>
    </row>
    <row r="5" spans="2:9" x14ac:dyDescent="0.25">
      <c r="B5" s="188" t="str">
        <f>'Datos - Gastos'!A2</f>
        <v>Pago Claude/Cursor</v>
      </c>
      <c r="C5" s="191">
        <f>SUMIF('Gastos julio'!$F$24:$F$173,$B5,'Gastos julio'!$C$24:$C$173)+SUMIF('Gastos julio'!$F$24:$F$173,$B5,'Gastos julio'!$D$24:$D$173)</f>
        <v>16000</v>
      </c>
      <c r="D5" s="191">
        <f>SUMIF('Gastos agosto'!$F$24:$F$173,$B5,'Gastos agosto'!$C$24:$C$173)+SUMIF('Gastos agosto'!$F$24:$F$173,$B5,'Gastos agosto'!$D$24:$D$173)</f>
        <v>60150</v>
      </c>
      <c r="E5" s="191">
        <f>SUMIF('Gastos septiembre'!$F$24:$F$173,$B5,'Gastos septiembre'!$C$24:$C$173)+SUMIF('Gastos septiembre'!$F$24:$F$173,$B5,'Gastos septiembre'!$D$24:$D$173)</f>
        <v>0</v>
      </c>
      <c r="F5" s="191">
        <f>SUMIF('Gastos octubre'!$F$24:$F$173,$B5,'Gastos octubre'!$C$24:$C$173)+SUMIF('Gastos octubre'!$F$24:$F$173,$B5,'Gastos octubre'!$D$24:$D$173)</f>
        <v>0</v>
      </c>
      <c r="G5" s="191">
        <f>SUMIF('Gastos noviembre'!$F$24:$F$173,$B5,'Gastos noviembre'!$C$24:$C$173)+SUMIF('Gastos noviembre'!$F$24:$F$173,$B5,'Gastos noviembre'!$D$24:$D$173)</f>
        <v>0</v>
      </c>
      <c r="H5" s="191">
        <f>SUMIF('Gastos diciembre'!$F$24:$F$173,$B5,'Gastos diciembre'!$C$24:$C$173)+SUMIF('Gastos diciembre'!$F$24:$F$173,$B5,'Gastos diciembre'!$D$24:$D$173)</f>
        <v>0</v>
      </c>
      <c r="I5" s="192">
        <f>SUM(C5:H5)</f>
        <v>76150</v>
      </c>
    </row>
    <row r="6" spans="2:9" x14ac:dyDescent="0.25">
      <c r="B6" s="189" t="str">
        <f>'Datos - Gastos'!A3</f>
        <v>Salidas a cenar/almorzar</v>
      </c>
      <c r="C6" s="193">
        <f>SUMIF('Gastos julio'!$F$24:$F$173,$B6,'Gastos julio'!$C$24:$C$173)+SUMIF('Gastos julio'!$F$24:$F$173,$B6,'Gastos julio'!$D$24:$D$173)</f>
        <v>-139930</v>
      </c>
      <c r="D6" s="193">
        <f>SUMIF('Gastos agosto'!$F$24:$F$173,$B6,'Gastos agosto'!$C$24:$C$173)+SUMIF('Gastos agosto'!$F$24:$F$173,$B6,'Gastos agosto'!$D$24:$D$173)</f>
        <v>-255130.74</v>
      </c>
      <c r="E6" s="193">
        <f>SUMIF('Gastos septiembre'!$F$24:$F$173,$B6,'Gastos septiembre'!$C$24:$C$173)+SUMIF('Gastos septiembre'!$F$24:$F$173,$B6,'Gastos septiembre'!$D$24:$D$173)</f>
        <v>-39300</v>
      </c>
      <c r="F6" s="193">
        <f>SUMIF('Gastos octubre'!$F$24:$F$173,$B6,'Gastos octubre'!$C$24:$C$173)+SUMIF('Gastos octubre'!$F$24:$F$173,$B6,'Gastos octubre'!$D$24:$D$173)</f>
        <v>0</v>
      </c>
      <c r="G6" s="193">
        <f>SUMIF('Gastos noviembre'!$F$24:$F$173,$B6,'Gastos noviembre'!$C$24:$C$173)+SUMIF('Gastos noviembre'!$F$24:$F$173,$B6,'Gastos noviembre'!$D$24:$D$173)</f>
        <v>0</v>
      </c>
      <c r="H6" s="193">
        <f>SUMIF('Gastos diciembre'!$F$24:$F$173,$B6,'Gastos diciembre'!$C$24:$C$173)+SUMIF('Gastos diciembre'!$F$24:$F$173,$B6,'Gastos diciembre'!$D$24:$D$173)</f>
        <v>0</v>
      </c>
      <c r="I6" s="194">
        <f t="shared" ref="I6:I31" si="0">SUM(C6:H6)</f>
        <v>-434360.74</v>
      </c>
    </row>
    <row r="7" spans="2:9" x14ac:dyDescent="0.25">
      <c r="B7" s="189" t="str">
        <f>'Datos - Gastos'!A4</f>
        <v>Juntadas a cenar/almorzar</v>
      </c>
      <c r="C7" s="193">
        <f>SUMIF('Gastos julio'!$F$24:$F$173,$B7,'Gastos julio'!$C$24:$C$173)+SUMIF('Gastos julio'!$F$24:$F$173,$B7,'Gastos julio'!$D$24:$D$173)</f>
        <v>0</v>
      </c>
      <c r="D7" s="193">
        <f>SUMIF('Gastos agosto'!$F$24:$F$173,$B7,'Gastos agosto'!$C$24:$C$173)+SUMIF('Gastos agosto'!$F$24:$F$173,$B7,'Gastos agosto'!$D$24:$D$173)</f>
        <v>-102414.26999999999</v>
      </c>
      <c r="E7" s="193">
        <f>SUMIF('Gastos septiembre'!$F$24:$F$173,$B7,'Gastos septiembre'!$C$24:$C$173)+SUMIF('Gastos septiembre'!$F$24:$F$173,$B7,'Gastos septiembre'!$D$24:$D$173)</f>
        <v>-183336.2</v>
      </c>
      <c r="F7" s="193">
        <f>SUMIF('Gastos octubre'!$F$24:$F$173,$B7,'Gastos octubre'!$C$24:$C$173)+SUMIF('Gastos octubre'!$F$24:$F$173,$B7,'Gastos octubre'!$D$24:$D$173)</f>
        <v>0</v>
      </c>
      <c r="G7" s="193">
        <f>SUMIF('Gastos noviembre'!$F$24:$F$173,$B7,'Gastos noviembre'!$C$24:$C$173)+SUMIF('Gastos noviembre'!$F$24:$F$173,$B7,'Gastos noviembre'!$D$24:$D$173)</f>
        <v>0</v>
      </c>
      <c r="H7" s="193">
        <f>SUMIF('Gastos diciembre'!$F$24:$F$173,$B7,'Gastos diciembre'!$C$24:$C$173)+SUMIF('Gastos diciembre'!$F$24:$F$173,$B7,'Gastos diciembre'!$D$24:$D$173)</f>
        <v>0</v>
      </c>
      <c r="I7" s="194">
        <f t="shared" si="0"/>
        <v>-285750.46999999997</v>
      </c>
    </row>
    <row r="8" spans="2:9" x14ac:dyDescent="0.25">
      <c r="B8" s="189" t="str">
        <f>'Datos - Gastos'!A5</f>
        <v>Salidas a desyunar/merendar</v>
      </c>
      <c r="C8" s="193">
        <f>SUMIF('Gastos julio'!$F$24:$F$173,$B8,'Gastos julio'!$C$24:$C$173)+SUMIF('Gastos julio'!$F$24:$F$173,$B8,'Gastos julio'!$D$24:$D$173)</f>
        <v>-110800</v>
      </c>
      <c r="D8" s="193">
        <f>SUMIF('Gastos agosto'!$F$24:$F$173,$B8,'Gastos agosto'!$C$24:$C$173)+SUMIF('Gastos agosto'!$F$24:$F$173,$B8,'Gastos agosto'!$D$24:$D$173)</f>
        <v>-25100</v>
      </c>
      <c r="E8" s="193">
        <f>SUMIF('Gastos septiembre'!$F$24:$F$173,$B8,'Gastos septiembre'!$C$24:$C$173)+SUMIF('Gastos septiembre'!$F$24:$F$173,$B8,'Gastos septiembre'!$D$24:$D$173)</f>
        <v>-55400</v>
      </c>
      <c r="F8" s="193">
        <f>SUMIF('Gastos octubre'!$F$24:$F$173,$B8,'Gastos octubre'!$C$24:$C$173)+SUMIF('Gastos octubre'!$F$24:$F$173,$B8,'Gastos octubre'!$D$24:$D$173)</f>
        <v>0</v>
      </c>
      <c r="G8" s="193">
        <f>SUMIF('Gastos noviembre'!$F$24:$F$173,$B8,'Gastos noviembre'!$C$24:$C$173)+SUMIF('Gastos noviembre'!$F$24:$F$173,$B8,'Gastos noviembre'!$D$24:$D$173)</f>
        <v>0</v>
      </c>
      <c r="H8" s="193">
        <f>SUMIF('Gastos diciembre'!$F$24:$F$173,$B8,'Gastos diciembre'!$C$24:$C$173)+SUMIF('Gastos diciembre'!$F$24:$F$173,$B8,'Gastos diciembre'!$D$24:$D$173)</f>
        <v>0</v>
      </c>
      <c r="I8" s="194">
        <f t="shared" si="0"/>
        <v>-191300</v>
      </c>
    </row>
    <row r="9" spans="2:9" x14ac:dyDescent="0.25">
      <c r="B9" s="189" t="str">
        <f>'Datos - Gastos'!A6</f>
        <v>Juntadas a desayunar/merendar</v>
      </c>
      <c r="C9" s="193">
        <f>SUMIF('Gastos julio'!$F$24:$F$173,$B9,'Gastos julio'!$C$24:$C$173)+SUMIF('Gastos julio'!$F$24:$F$173,$B9,'Gastos julio'!$D$24:$D$173)</f>
        <v>0</v>
      </c>
      <c r="D9" s="193">
        <f>SUMIF('Gastos agosto'!$F$24:$F$173,$B9,'Gastos agosto'!$C$24:$C$173)+SUMIF('Gastos agosto'!$F$24:$F$173,$B9,'Gastos agosto'!$D$24:$D$173)</f>
        <v>0</v>
      </c>
      <c r="E9" s="193">
        <f>SUMIF('Gastos septiembre'!$F$24:$F$173,$B9,'Gastos septiembre'!$C$24:$C$173)+SUMIF('Gastos septiembre'!$F$24:$F$173,$B9,'Gastos septiembre'!$D$24:$D$173)</f>
        <v>0</v>
      </c>
      <c r="F9" s="193">
        <f>SUMIF('Gastos octubre'!$F$24:$F$173,$B9,'Gastos octubre'!$C$24:$C$173)+SUMIF('Gastos octubre'!$F$24:$F$173,$B9,'Gastos octubre'!$D$24:$D$173)</f>
        <v>0</v>
      </c>
      <c r="G9" s="193">
        <f>SUMIF('Gastos noviembre'!$F$24:$F$173,$B9,'Gastos noviembre'!$C$24:$C$173)+SUMIF('Gastos noviembre'!$F$24:$F$173,$B9,'Gastos noviembre'!$D$24:$D$173)</f>
        <v>0</v>
      </c>
      <c r="H9" s="193">
        <f>SUMIF('Gastos diciembre'!$F$24:$F$173,$B9,'Gastos diciembre'!$C$24:$C$173)+SUMIF('Gastos diciembre'!$F$24:$F$173,$B9,'Gastos diciembre'!$D$24:$D$173)</f>
        <v>0</v>
      </c>
      <c r="I9" s="194">
        <f t="shared" si="0"/>
        <v>0</v>
      </c>
    </row>
    <row r="10" spans="2:9" x14ac:dyDescent="0.25">
      <c r="B10" s="189" t="str">
        <f>'Datos - Gastos'!A7</f>
        <v>Salidas a tomar algo</v>
      </c>
      <c r="C10" s="193">
        <f>SUMIF('Gastos julio'!$F$24:$F$173,$B10,'Gastos julio'!$C$24:$C$173)+SUMIF('Gastos julio'!$F$24:$F$173,$B10,'Gastos julio'!$D$24:$D$173)</f>
        <v>-33000</v>
      </c>
      <c r="D10" s="193">
        <f>SUMIF('Gastos agosto'!$F$24:$F$173,$B10,'Gastos agosto'!$C$24:$C$173)+SUMIF('Gastos agosto'!$F$24:$F$173,$B10,'Gastos agosto'!$D$24:$D$173)</f>
        <v>-75330</v>
      </c>
      <c r="E10" s="193">
        <f>SUMIF('Gastos septiembre'!$F$24:$F$173,$B10,'Gastos septiembre'!$C$24:$C$173)+SUMIF('Gastos septiembre'!$F$24:$F$173,$B10,'Gastos septiembre'!$D$24:$D$173)</f>
        <v>-71900</v>
      </c>
      <c r="F10" s="193">
        <f>SUMIF('Gastos octubre'!$F$24:$F$173,$B10,'Gastos octubre'!$C$24:$C$173)+SUMIF('Gastos octubre'!$F$24:$F$173,$B10,'Gastos octubre'!$D$24:$D$173)</f>
        <v>0</v>
      </c>
      <c r="G10" s="193">
        <f>SUMIF('Gastos noviembre'!$F$24:$F$173,$B10,'Gastos noviembre'!$C$24:$C$173)+SUMIF('Gastos noviembre'!$F$24:$F$173,$B10,'Gastos noviembre'!$D$24:$D$173)</f>
        <v>0</v>
      </c>
      <c r="H10" s="193">
        <f>SUMIF('Gastos diciembre'!$F$24:$F$173,$B10,'Gastos diciembre'!$C$24:$C$173)+SUMIF('Gastos diciembre'!$F$24:$F$173,$B10,'Gastos diciembre'!$D$24:$D$173)</f>
        <v>0</v>
      </c>
      <c r="I10" s="194">
        <f t="shared" si="0"/>
        <v>-180230</v>
      </c>
    </row>
    <row r="11" spans="2:9" x14ac:dyDescent="0.25">
      <c r="B11" s="189" t="str">
        <f>'Datos - Gastos'!A8</f>
        <v>Fiestas</v>
      </c>
      <c r="C11" s="193">
        <f>SUMIF('Gastos julio'!$F$24:$F$173,$B11,'Gastos julio'!$C$24:$C$173)+SUMIF('Gastos julio'!$F$24:$F$173,$B11,'Gastos julio'!$D$24:$D$173)</f>
        <v>0</v>
      </c>
      <c r="D11" s="193">
        <f>SUMIF('Gastos agosto'!$F$24:$F$173,$B11,'Gastos agosto'!$C$24:$C$173)+SUMIF('Gastos agosto'!$F$24:$F$173,$B11,'Gastos agosto'!$D$24:$D$173)</f>
        <v>-24600</v>
      </c>
      <c r="E11" s="193">
        <f>SUMIF('Gastos septiembre'!$F$24:$F$173,$B11,'Gastos septiembre'!$C$24:$C$173)+SUMIF('Gastos septiembre'!$F$24:$F$173,$B11,'Gastos septiembre'!$D$24:$D$173)</f>
        <v>0</v>
      </c>
      <c r="F11" s="193">
        <f>SUMIF('Gastos octubre'!$F$24:$F$173,$B11,'Gastos octubre'!$C$24:$C$173)+SUMIF('Gastos octubre'!$F$24:$F$173,$B11,'Gastos octubre'!$D$24:$D$173)</f>
        <v>0</v>
      </c>
      <c r="G11" s="193">
        <f>SUMIF('Gastos noviembre'!$F$24:$F$173,$B11,'Gastos noviembre'!$C$24:$C$173)+SUMIF('Gastos noviembre'!$F$24:$F$173,$B11,'Gastos noviembre'!$D$24:$D$173)</f>
        <v>0</v>
      </c>
      <c r="H11" s="193">
        <f>SUMIF('Gastos diciembre'!$F$24:$F$173,$B11,'Gastos diciembre'!$C$24:$C$173)+SUMIF('Gastos diciembre'!$F$24:$F$173,$B11,'Gastos diciembre'!$D$24:$D$173)</f>
        <v>0</v>
      </c>
      <c r="I11" s="194">
        <f t="shared" si="0"/>
        <v>-24600</v>
      </c>
    </row>
    <row r="12" spans="2:9" x14ac:dyDescent="0.25">
      <c r="B12" s="189" t="str">
        <f>'Datos - Gastos'!A9</f>
        <v>Auto</v>
      </c>
      <c r="C12" s="193">
        <f>SUMIF('Gastos julio'!$F$24:$F$173,$B12,'Gastos julio'!$C$24:$C$173)+SUMIF('Gastos julio'!$F$24:$F$173,$B12,'Gastos julio'!$D$24:$D$173)</f>
        <v>-76600</v>
      </c>
      <c r="D12" s="193">
        <f>SUMIF('Gastos agosto'!$F$24:$F$173,$B12,'Gastos agosto'!$C$24:$C$173)+SUMIF('Gastos agosto'!$F$24:$F$173,$B12,'Gastos agosto'!$D$24:$D$173)</f>
        <v>-125000</v>
      </c>
      <c r="E12" s="193">
        <f>SUMIF('Gastos septiembre'!$F$24:$F$173,$B12,'Gastos septiembre'!$C$24:$C$173)+SUMIF('Gastos septiembre'!$F$24:$F$173,$B12,'Gastos septiembre'!$D$24:$D$173)</f>
        <v>-56000</v>
      </c>
      <c r="F12" s="193">
        <f>SUMIF('Gastos octubre'!$F$24:$F$173,$B12,'Gastos octubre'!$C$24:$C$173)+SUMIF('Gastos octubre'!$F$24:$F$173,$B12,'Gastos octubre'!$D$24:$D$173)</f>
        <v>0</v>
      </c>
      <c r="G12" s="193">
        <f>SUMIF('Gastos noviembre'!$F$24:$F$173,$B12,'Gastos noviembre'!$C$24:$C$173)+SUMIF('Gastos noviembre'!$F$24:$F$173,$B12,'Gastos noviembre'!$D$24:$D$173)</f>
        <v>0</v>
      </c>
      <c r="H12" s="193">
        <f>SUMIF('Gastos diciembre'!$F$24:$F$173,$B12,'Gastos diciembre'!$C$24:$C$173)+SUMIF('Gastos diciembre'!$F$24:$F$173,$B12,'Gastos diciembre'!$D$24:$D$173)</f>
        <v>0</v>
      </c>
      <c r="I12" s="194">
        <f t="shared" si="0"/>
        <v>-257600</v>
      </c>
    </row>
    <row r="13" spans="2:9" x14ac:dyDescent="0.25">
      <c r="B13" s="189" t="str">
        <f>'Datos - Gastos'!A10</f>
        <v>Celular</v>
      </c>
      <c r="C13" s="193">
        <f>SUMIF('Gastos julio'!$F$24:$F$173,$B13,'Gastos julio'!$C$24:$C$173)+SUMIF('Gastos julio'!$F$24:$F$173,$B13,'Gastos julio'!$D$24:$D$173)</f>
        <v>0</v>
      </c>
      <c r="D13" s="193">
        <f>SUMIF('Gastos agosto'!$F$24:$F$173,$B13,'Gastos agosto'!$C$24:$C$173)+SUMIF('Gastos agosto'!$F$24:$F$173,$B13,'Gastos agosto'!$D$24:$D$173)</f>
        <v>-7000</v>
      </c>
      <c r="E13" s="193">
        <f>SUMIF('Gastos septiembre'!$F$24:$F$173,$B13,'Gastos septiembre'!$C$24:$C$173)+SUMIF('Gastos septiembre'!$F$24:$F$173,$B13,'Gastos septiembre'!$D$24:$D$173)</f>
        <v>0</v>
      </c>
      <c r="F13" s="193">
        <f>SUMIF('Gastos octubre'!$F$24:$F$173,$B13,'Gastos octubre'!$C$24:$C$173)+SUMIF('Gastos octubre'!$F$24:$F$173,$B13,'Gastos octubre'!$D$24:$D$173)</f>
        <v>0</v>
      </c>
      <c r="G13" s="193">
        <f>SUMIF('Gastos noviembre'!$F$24:$F$173,$B13,'Gastos noviembre'!$C$24:$C$173)+SUMIF('Gastos noviembre'!$F$24:$F$173,$B13,'Gastos noviembre'!$D$24:$D$173)</f>
        <v>0</v>
      </c>
      <c r="H13" s="193">
        <f>SUMIF('Gastos diciembre'!$F$24:$F$173,$B13,'Gastos diciembre'!$C$24:$C$173)+SUMIF('Gastos diciembre'!$F$24:$F$173,$B13,'Gastos diciembre'!$D$24:$D$173)</f>
        <v>0</v>
      </c>
      <c r="I13" s="194">
        <f t="shared" si="0"/>
        <v>-7000</v>
      </c>
    </row>
    <row r="14" spans="2:9" x14ac:dyDescent="0.25">
      <c r="B14" s="189" t="str">
        <f>'Datos - Gastos'!A11</f>
        <v>Farmacia/Cosméticos</v>
      </c>
      <c r="C14" s="193">
        <f>SUMIF('Gastos julio'!$F$24:$F$173,$B14,'Gastos julio'!$C$24:$C$173)+SUMIF('Gastos julio'!$F$24:$F$173,$B14,'Gastos julio'!$D$24:$D$173)</f>
        <v>-33852.49</v>
      </c>
      <c r="D14" s="193">
        <f>SUMIF('Gastos agosto'!$F$24:$F$173,$B14,'Gastos agosto'!$C$24:$C$173)+SUMIF('Gastos agosto'!$F$24:$F$173,$B14,'Gastos agosto'!$D$24:$D$173)</f>
        <v>-6686.31</v>
      </c>
      <c r="E14" s="193">
        <f>SUMIF('Gastos septiembre'!$F$24:$F$173,$B14,'Gastos septiembre'!$C$24:$C$173)+SUMIF('Gastos septiembre'!$F$24:$F$173,$B14,'Gastos septiembre'!$D$24:$D$173)</f>
        <v>-21560.32</v>
      </c>
      <c r="F14" s="193">
        <f>SUMIF('Gastos octubre'!$F$24:$F$173,$B14,'Gastos octubre'!$C$24:$C$173)+SUMIF('Gastos octubre'!$F$24:$F$173,$B14,'Gastos octubre'!$D$24:$D$173)</f>
        <v>0</v>
      </c>
      <c r="G14" s="193">
        <f>SUMIF('Gastos noviembre'!$F$24:$F$173,$B14,'Gastos noviembre'!$C$24:$C$173)+SUMIF('Gastos noviembre'!$F$24:$F$173,$B14,'Gastos noviembre'!$D$24:$D$173)</f>
        <v>0</v>
      </c>
      <c r="H14" s="193">
        <f>SUMIF('Gastos diciembre'!$F$24:$F$173,$B14,'Gastos diciembre'!$C$24:$C$173)+SUMIF('Gastos diciembre'!$F$24:$F$173,$B14,'Gastos diciembre'!$D$24:$D$173)</f>
        <v>0</v>
      </c>
      <c r="I14" s="194">
        <f t="shared" si="0"/>
        <v>-62099.119999999995</v>
      </c>
    </row>
    <row r="15" spans="2:9" x14ac:dyDescent="0.25">
      <c r="B15" s="189" t="str">
        <f>'Datos - Gastos'!A12</f>
        <v>Ropa</v>
      </c>
      <c r="C15" s="193">
        <f>SUMIF('Gastos julio'!$F$24:$F$173,$B15,'Gastos julio'!$C$24:$C$173)+SUMIF('Gastos julio'!$F$24:$F$173,$B15,'Gastos julio'!$D$24:$D$173)</f>
        <v>0</v>
      </c>
      <c r="D15" s="193">
        <f>SUMIF('Gastos agosto'!$F$24:$F$173,$B15,'Gastos agosto'!$C$24:$C$173)+SUMIF('Gastos agosto'!$F$24:$F$173,$B15,'Gastos agosto'!$D$24:$D$173)</f>
        <v>0</v>
      </c>
      <c r="E15" s="193">
        <f>SUMIF('Gastos septiembre'!$F$24:$F$173,$B15,'Gastos septiembre'!$C$24:$C$173)+SUMIF('Gastos septiembre'!$F$24:$F$173,$B15,'Gastos septiembre'!$D$24:$D$173)</f>
        <v>0</v>
      </c>
      <c r="F15" s="193">
        <f>SUMIF('Gastos octubre'!$F$24:$F$173,$B15,'Gastos octubre'!$C$24:$C$173)+SUMIF('Gastos octubre'!$F$24:$F$173,$B15,'Gastos octubre'!$D$24:$D$173)</f>
        <v>0</v>
      </c>
      <c r="G15" s="193">
        <f>SUMIF('Gastos noviembre'!$F$24:$F$173,$B15,'Gastos noviembre'!$C$24:$C$173)+SUMIF('Gastos noviembre'!$F$24:$F$173,$B15,'Gastos noviembre'!$D$24:$D$173)</f>
        <v>0</v>
      </c>
      <c r="H15" s="193">
        <f>SUMIF('Gastos diciembre'!$F$24:$F$173,$B15,'Gastos diciembre'!$C$24:$C$173)+SUMIF('Gastos diciembre'!$F$24:$F$173,$B15,'Gastos diciembre'!$D$24:$D$173)</f>
        <v>0</v>
      </c>
      <c r="I15" s="194">
        <f t="shared" si="0"/>
        <v>0</v>
      </c>
    </row>
    <row r="16" spans="2:9" x14ac:dyDescent="0.25">
      <c r="B16" s="189" t="str">
        <f>'Datos - Gastos'!A13</f>
        <v>Súper</v>
      </c>
      <c r="C16" s="193">
        <f>SUMIF('Gastos julio'!$F$24:$F$173,$B16,'Gastos julio'!$C$24:$C$173)+SUMIF('Gastos julio'!$F$24:$F$173,$B16,'Gastos julio'!$D$24:$D$173)</f>
        <v>0</v>
      </c>
      <c r="D16" s="193">
        <f>SUMIF('Gastos agosto'!$F$24:$F$173,$B16,'Gastos agosto'!$C$24:$C$173)+SUMIF('Gastos agosto'!$F$24:$F$173,$B16,'Gastos agosto'!$D$24:$D$173)</f>
        <v>0</v>
      </c>
      <c r="E16" s="193">
        <f>SUMIF('Gastos septiembre'!$F$24:$F$173,$B16,'Gastos septiembre'!$C$24:$C$173)+SUMIF('Gastos septiembre'!$F$24:$F$173,$B16,'Gastos septiembre'!$D$24:$D$173)</f>
        <v>-34048</v>
      </c>
      <c r="F16" s="193">
        <f>SUMIF('Gastos octubre'!$F$24:$F$173,$B16,'Gastos octubre'!$C$24:$C$173)+SUMIF('Gastos octubre'!$F$24:$F$173,$B16,'Gastos octubre'!$D$24:$D$173)</f>
        <v>0</v>
      </c>
      <c r="G16" s="193">
        <f>SUMIF('Gastos noviembre'!$F$24:$F$173,$B16,'Gastos noviembre'!$C$24:$C$173)+SUMIF('Gastos noviembre'!$F$24:$F$173,$B16,'Gastos noviembre'!$D$24:$D$173)</f>
        <v>0</v>
      </c>
      <c r="H16" s="193">
        <f>SUMIF('Gastos diciembre'!$F$24:$F$173,$B16,'Gastos diciembre'!$C$24:$C$173)+SUMIF('Gastos diciembre'!$F$24:$F$173,$B16,'Gastos diciembre'!$D$24:$D$173)</f>
        <v>0</v>
      </c>
      <c r="I16" s="194">
        <f t="shared" si="0"/>
        <v>-34048</v>
      </c>
    </row>
    <row r="17" spans="2:9" x14ac:dyDescent="0.25">
      <c r="B17" s="189" t="str">
        <f>'Datos - Gastos'!A14</f>
        <v>Gimnasio</v>
      </c>
      <c r="C17" s="193">
        <f>SUMIF('Gastos julio'!$F$24:$F$173,$B17,'Gastos julio'!$C$24:$C$173)+SUMIF('Gastos julio'!$F$24:$F$173,$B17,'Gastos julio'!$D$24:$D$173)</f>
        <v>-106000</v>
      </c>
      <c r="D17" s="193">
        <f>SUMIF('Gastos agosto'!$F$24:$F$173,$B17,'Gastos agosto'!$C$24:$C$173)+SUMIF('Gastos agosto'!$F$24:$F$173,$B17,'Gastos agosto'!$D$24:$D$173)</f>
        <v>0</v>
      </c>
      <c r="E17" s="193">
        <f>SUMIF('Gastos septiembre'!$F$24:$F$173,$B17,'Gastos septiembre'!$C$24:$C$173)+SUMIF('Gastos septiembre'!$F$24:$F$173,$B17,'Gastos septiembre'!$D$24:$D$173)</f>
        <v>-120000</v>
      </c>
      <c r="F17" s="193">
        <f>SUMIF('Gastos octubre'!$F$24:$F$173,$B17,'Gastos octubre'!$C$24:$C$173)+SUMIF('Gastos octubre'!$F$24:$F$173,$B17,'Gastos octubre'!$D$24:$D$173)</f>
        <v>0</v>
      </c>
      <c r="G17" s="193">
        <f>SUMIF('Gastos noviembre'!$F$24:$F$173,$B17,'Gastos noviembre'!$C$24:$C$173)+SUMIF('Gastos noviembre'!$F$24:$F$173,$B17,'Gastos noviembre'!$D$24:$D$173)</f>
        <v>0</v>
      </c>
      <c r="H17" s="193">
        <f>SUMIF('Gastos diciembre'!$F$24:$F$173,$B17,'Gastos diciembre'!$C$24:$C$173)+SUMIF('Gastos diciembre'!$F$24:$F$173,$B17,'Gastos diciembre'!$D$24:$D$173)</f>
        <v>0</v>
      </c>
      <c r="I17" s="194">
        <f t="shared" si="0"/>
        <v>-226000</v>
      </c>
    </row>
    <row r="18" spans="2:9" x14ac:dyDescent="0.25">
      <c r="B18" s="189" t="str">
        <f>'Datos - Gastos'!A15</f>
        <v>Psicóloga</v>
      </c>
      <c r="C18" s="193">
        <f>SUMIF('Gastos julio'!$F$24:$F$173,$B18,'Gastos julio'!$C$24:$C$173)+SUMIF('Gastos julio'!$F$24:$F$173,$B18,'Gastos julio'!$D$24:$D$173)</f>
        <v>-55210</v>
      </c>
      <c r="D18" s="193">
        <f>SUMIF('Gastos agosto'!$F$24:$F$173,$B18,'Gastos agosto'!$C$24:$C$173)+SUMIF('Gastos agosto'!$F$24:$F$173,$B18,'Gastos agosto'!$D$24:$D$173)</f>
        <v>-104614</v>
      </c>
      <c r="E18" s="193">
        <f>SUMIF('Gastos septiembre'!$F$24:$F$173,$B18,'Gastos septiembre'!$C$24:$C$173)+SUMIF('Gastos septiembre'!$F$24:$F$173,$B18,'Gastos septiembre'!$D$24:$D$173)</f>
        <v>-45000</v>
      </c>
      <c r="F18" s="193">
        <f>SUMIF('Gastos octubre'!$F$24:$F$173,$B18,'Gastos octubre'!$C$24:$C$173)+SUMIF('Gastos octubre'!$F$24:$F$173,$B18,'Gastos octubre'!$D$24:$D$173)</f>
        <v>0</v>
      </c>
      <c r="G18" s="193">
        <f>SUMIF('Gastos noviembre'!$F$24:$F$173,$B18,'Gastos noviembre'!$C$24:$C$173)+SUMIF('Gastos noviembre'!$F$24:$F$173,$B18,'Gastos noviembre'!$D$24:$D$173)</f>
        <v>0</v>
      </c>
      <c r="H18" s="193">
        <f>SUMIF('Gastos diciembre'!$F$24:$F$173,$B18,'Gastos diciembre'!$C$24:$C$173)+SUMIF('Gastos diciembre'!$F$24:$F$173,$B18,'Gastos diciembre'!$D$24:$D$173)</f>
        <v>0</v>
      </c>
      <c r="I18" s="194">
        <f t="shared" si="0"/>
        <v>-204824</v>
      </c>
    </row>
    <row r="19" spans="2:9" x14ac:dyDescent="0.25">
      <c r="B19" s="189" t="str">
        <f>'Datos - Gastos'!A16</f>
        <v>Delivery</v>
      </c>
      <c r="C19" s="193">
        <f>SUMIF('Gastos julio'!$F$24:$F$173,$B19,'Gastos julio'!$C$24:$C$173)+SUMIF('Gastos julio'!$F$24:$F$173,$B19,'Gastos julio'!$D$24:$D$173)</f>
        <v>-71557.600000000006</v>
      </c>
      <c r="D19" s="193">
        <f>SUMIF('Gastos agosto'!$F$24:$F$173,$B19,'Gastos agosto'!$C$24:$C$173)+SUMIF('Gastos agosto'!$F$24:$F$173,$B19,'Gastos agosto'!$D$24:$D$173)</f>
        <v>-18000</v>
      </c>
      <c r="E19" s="193">
        <f>SUMIF('Gastos septiembre'!$F$24:$F$173,$B19,'Gastos septiembre'!$C$24:$C$173)+SUMIF('Gastos septiembre'!$F$24:$F$173,$B19,'Gastos septiembre'!$D$24:$D$173)</f>
        <v>0</v>
      </c>
      <c r="F19" s="193">
        <f>SUMIF('Gastos octubre'!$F$24:$F$173,$B19,'Gastos octubre'!$C$24:$C$173)+SUMIF('Gastos octubre'!$F$24:$F$173,$B19,'Gastos octubre'!$D$24:$D$173)</f>
        <v>0</v>
      </c>
      <c r="G19" s="193">
        <f>SUMIF('Gastos noviembre'!$F$24:$F$173,$B19,'Gastos noviembre'!$C$24:$C$173)+SUMIF('Gastos noviembre'!$F$24:$F$173,$B19,'Gastos noviembre'!$D$24:$D$173)</f>
        <v>0</v>
      </c>
      <c r="H19" s="193">
        <f>SUMIF('Gastos diciembre'!$F$24:$F$173,$B19,'Gastos diciembre'!$C$24:$C$173)+SUMIF('Gastos diciembre'!$F$24:$F$173,$B19,'Gastos diciembre'!$D$24:$D$173)</f>
        <v>0</v>
      </c>
      <c r="I19" s="194">
        <f t="shared" si="0"/>
        <v>-89557.6</v>
      </c>
    </row>
    <row r="20" spans="2:9" x14ac:dyDescent="0.25">
      <c r="B20" s="189" t="str">
        <f>'Datos - Gastos'!A17</f>
        <v>Regalos</v>
      </c>
      <c r="C20" s="193">
        <f>SUMIF('Gastos julio'!$F$24:$F$173,$B20,'Gastos julio'!$C$24:$C$173)+SUMIF('Gastos julio'!$F$24:$F$173,$B20,'Gastos julio'!$D$24:$D$173)</f>
        <v>53200</v>
      </c>
      <c r="D20" s="193">
        <f>SUMIF('Gastos agosto'!$F$24:$F$173,$B20,'Gastos agosto'!$C$24:$C$173)+SUMIF('Gastos agosto'!$F$24:$F$173,$B20,'Gastos agosto'!$D$24:$D$173)</f>
        <v>-12850</v>
      </c>
      <c r="E20" s="193">
        <f>SUMIF('Gastos septiembre'!$F$24:$F$173,$B20,'Gastos septiembre'!$C$24:$C$173)+SUMIF('Gastos septiembre'!$F$24:$F$173,$B20,'Gastos septiembre'!$D$24:$D$173)</f>
        <v>-39900</v>
      </c>
      <c r="F20" s="193">
        <f>SUMIF('Gastos octubre'!$F$24:$F$173,$B20,'Gastos octubre'!$C$24:$C$173)+SUMIF('Gastos octubre'!$F$24:$F$173,$B20,'Gastos octubre'!$D$24:$D$173)</f>
        <v>0</v>
      </c>
      <c r="G20" s="193">
        <f>SUMIF('Gastos noviembre'!$F$24:$F$173,$B20,'Gastos noviembre'!$C$24:$C$173)+SUMIF('Gastos noviembre'!$F$24:$F$173,$B20,'Gastos noviembre'!$D$24:$D$173)</f>
        <v>0</v>
      </c>
      <c r="H20" s="193">
        <f>SUMIF('Gastos diciembre'!$F$24:$F$173,$B20,'Gastos diciembre'!$C$24:$C$173)+SUMIF('Gastos diciembre'!$F$24:$F$173,$B20,'Gastos diciembre'!$D$24:$D$173)</f>
        <v>0</v>
      </c>
      <c r="I20" s="194">
        <f t="shared" si="0"/>
        <v>450</v>
      </c>
    </row>
    <row r="21" spans="2:9" x14ac:dyDescent="0.25">
      <c r="B21" s="189" t="str">
        <f>'Datos - Gastos'!A19</f>
        <v>Entradas fiestas/conciertos/otros eventos</v>
      </c>
      <c r="C21" s="193">
        <f>SUMIF('Gastos julio'!$F$24:$F$173,$B21,'Gastos julio'!$C$24:$C$173)+SUMIF('Gastos julio'!$F$24:$F$173,$B21,'Gastos julio'!$D$24:$D$173)</f>
        <v>0</v>
      </c>
      <c r="D21" s="193">
        <f>SUMIF('Gastos agosto'!$F$24:$F$173,$B21,'Gastos agosto'!$C$24:$C$173)+SUMIF('Gastos agosto'!$F$24:$F$173,$B21,'Gastos agosto'!$D$24:$D$173)</f>
        <v>-32220</v>
      </c>
      <c r="E21" s="193">
        <f>SUMIF('Gastos septiembre'!$F$24:$F$173,$B21,'Gastos septiembre'!$C$24:$C$173)+SUMIF('Gastos septiembre'!$F$24:$F$173,$B21,'Gastos septiembre'!$D$24:$D$173)</f>
        <v>-201870</v>
      </c>
      <c r="F21" s="193">
        <f>SUMIF('Gastos octubre'!$F$24:$F$173,$B21,'Gastos octubre'!$C$24:$C$173)+SUMIF('Gastos octubre'!$F$24:$F$173,$B21,'Gastos octubre'!$D$24:$D$173)</f>
        <v>0</v>
      </c>
      <c r="G21" s="193">
        <f>SUMIF('Gastos noviembre'!$F$24:$F$173,$B21,'Gastos noviembre'!$C$24:$C$173)+SUMIF('Gastos noviembre'!$F$24:$F$173,$B21,'Gastos noviembre'!$D$24:$D$173)</f>
        <v>0</v>
      </c>
      <c r="H21" s="193">
        <f>SUMIF('Gastos diciembre'!$F$24:$F$173,$B21,'Gastos diciembre'!$C$24:$C$173)+SUMIF('Gastos diciembre'!$F$24:$F$173,$B21,'Gastos diciembre'!$D$24:$D$173)</f>
        <v>0</v>
      </c>
      <c r="I21" s="194">
        <f t="shared" si="0"/>
        <v>-234090</v>
      </c>
    </row>
    <row r="22" spans="2:9" x14ac:dyDescent="0.25">
      <c r="B22" s="189" t="str">
        <f>'Datos - Gastos'!A20</f>
        <v>Pago de honorarios Quantum</v>
      </c>
      <c r="C22" s="193">
        <f>SUMIF('Gastos julio'!$F$24:$F$173,$B22,'Gastos julio'!$C$24:$C$173)+SUMIF('Gastos julio'!$F$24:$F$173,$B22,'Gastos julio'!$D$24:$D$173)</f>
        <v>2084047</v>
      </c>
      <c r="D22" s="193">
        <f>SUMIF('Gastos agosto'!$F$24:$F$173,$B22,'Gastos agosto'!$C$24:$C$173)+SUMIF('Gastos agosto'!$F$24:$F$173,$B22,'Gastos agosto'!$D$24:$D$173)</f>
        <v>2094451.14</v>
      </c>
      <c r="E22" s="193">
        <f>SUMIF('Gastos septiembre'!$F$24:$F$173,$B22,'Gastos septiembre'!$C$24:$C$173)+SUMIF('Gastos septiembre'!$F$24:$F$173,$B22,'Gastos septiembre'!$D$24:$D$173)</f>
        <v>0</v>
      </c>
      <c r="F22" s="193">
        <f>SUMIF('Gastos octubre'!$F$24:$F$173,$B22,'Gastos octubre'!$C$24:$C$173)+SUMIF('Gastos octubre'!$F$24:$F$173,$B22,'Gastos octubre'!$D$24:$D$173)</f>
        <v>0</v>
      </c>
      <c r="G22" s="193">
        <f>SUMIF('Gastos noviembre'!$F$24:$F$173,$B22,'Gastos noviembre'!$C$24:$C$173)+SUMIF('Gastos noviembre'!$F$24:$F$173,$B22,'Gastos noviembre'!$D$24:$D$173)</f>
        <v>0</v>
      </c>
      <c r="H22" s="193">
        <f>SUMIF('Gastos diciembre'!$F$24:$F$173,$B22,'Gastos diciembre'!$C$24:$C$173)+SUMIF('Gastos diciembre'!$F$24:$F$173,$B22,'Gastos diciembre'!$D$24:$D$173)</f>
        <v>0</v>
      </c>
      <c r="I22" s="194">
        <f t="shared" si="0"/>
        <v>4178498.1399999997</v>
      </c>
    </row>
    <row r="23" spans="2:9" x14ac:dyDescent="0.25">
      <c r="B23" s="189" t="str">
        <f>'Datos - Gastos'!A21</f>
        <v>Pago de honorarios Axis</v>
      </c>
      <c r="C23" s="193">
        <f>SUMIF('Gastos julio'!$F$24:$F$173,$B23,'Gastos julio'!$C$24:$C$173)+SUMIF('Gastos julio'!$F$24:$F$173,$B23,'Gastos julio'!$D$24:$D$173)</f>
        <v>304000</v>
      </c>
      <c r="D23" s="193">
        <f>SUMIF('Gastos agosto'!$F$24:$F$173,$B23,'Gastos agosto'!$C$24:$C$173)+SUMIF('Gastos agosto'!$F$24:$F$173,$B23,'Gastos agosto'!$D$24:$D$173)</f>
        <v>423500</v>
      </c>
      <c r="E23" s="193">
        <f>SUMIF('Gastos septiembre'!$F$24:$F$173,$B23,'Gastos septiembre'!$C$24:$C$173)+SUMIF('Gastos septiembre'!$F$24:$F$173,$B23,'Gastos septiembre'!$D$24:$D$173)</f>
        <v>201000</v>
      </c>
      <c r="F23" s="193">
        <f>SUMIF('Gastos octubre'!$F$24:$F$173,$B23,'Gastos octubre'!$C$24:$C$173)+SUMIF('Gastos octubre'!$F$24:$F$173,$B23,'Gastos octubre'!$D$24:$D$173)</f>
        <v>0</v>
      </c>
      <c r="G23" s="193">
        <f>SUMIF('Gastos noviembre'!$F$24:$F$173,$B23,'Gastos noviembre'!$C$24:$C$173)+SUMIF('Gastos noviembre'!$F$24:$F$173,$B23,'Gastos noviembre'!$D$24:$D$173)</f>
        <v>0</v>
      </c>
      <c r="H23" s="193">
        <f>SUMIF('Gastos diciembre'!$F$24:$F$173,$B23,'Gastos diciembre'!$C$24:$C$173)+SUMIF('Gastos diciembre'!$F$24:$F$173,$B23,'Gastos diciembre'!$D$24:$D$173)</f>
        <v>0</v>
      </c>
      <c r="I23" s="194">
        <f t="shared" si="0"/>
        <v>928500</v>
      </c>
    </row>
    <row r="24" spans="2:9" x14ac:dyDescent="0.25">
      <c r="B24" s="189" t="str">
        <f>'Datos - Gastos'!A22</f>
        <v>Otros honorarios</v>
      </c>
      <c r="C24" s="193">
        <f>SUMIF('Gastos julio'!$F$24:$F$173,$B24,'Gastos julio'!$C$24:$C$173)+SUMIF('Gastos julio'!$F$24:$F$173,$B24,'Gastos julio'!$D$24:$D$173)</f>
        <v>0</v>
      </c>
      <c r="D24" s="193">
        <f>SUMIF('Gastos agosto'!$F$24:$F$173,$B24,'Gastos agosto'!$C$24:$C$173)+SUMIF('Gastos agosto'!$F$24:$F$173,$B24,'Gastos agosto'!$D$24:$D$173)</f>
        <v>170000</v>
      </c>
      <c r="E24" s="193">
        <f>SUMIF('Gastos septiembre'!$F$24:$F$173,$B24,'Gastos septiembre'!$C$24:$C$173)+SUMIF('Gastos septiembre'!$F$24:$F$173,$B24,'Gastos septiembre'!$D$24:$D$173)</f>
        <v>0</v>
      </c>
      <c r="F24" s="193">
        <f>SUMIF('Gastos octubre'!$F$24:$F$173,$B24,'Gastos octubre'!$C$24:$C$173)+SUMIF('Gastos octubre'!$F$24:$F$173,$B24,'Gastos octubre'!$D$24:$D$173)</f>
        <v>0</v>
      </c>
      <c r="G24" s="193">
        <f>SUMIF('Gastos noviembre'!$F$24:$F$173,$B24,'Gastos noviembre'!$C$24:$C$173)+SUMIF('Gastos noviembre'!$F$24:$F$173,$B24,'Gastos noviembre'!$D$24:$D$173)</f>
        <v>0</v>
      </c>
      <c r="H24" s="193">
        <f>SUMIF('Gastos diciembre'!$F$24:$F$173,$B24,'Gastos diciembre'!$C$24:$C$173)+SUMIF('Gastos diciembre'!$F$24:$F$173,$B24,'Gastos diciembre'!$D$24:$D$173)</f>
        <v>0</v>
      </c>
      <c r="I24" s="194">
        <f t="shared" si="0"/>
        <v>170000</v>
      </c>
    </row>
    <row r="25" spans="2:9" x14ac:dyDescent="0.25">
      <c r="B25" s="189" t="str">
        <f>'Datos - Gastos'!A23</f>
        <v>Rescates FCI</v>
      </c>
      <c r="C25" s="193">
        <f>SUMIF('Gastos julio'!$F$24:$F$173,$B25,'Gastos julio'!$C$24:$C$173)+SUMIF('Gastos julio'!$F$24:$F$173,$B25,'Gastos julio'!$D$24:$D$173)</f>
        <v>0</v>
      </c>
      <c r="D25" s="193">
        <f>SUMIF('Gastos agosto'!$F$24:$F$173,$B25,'Gastos agosto'!$C$24:$C$173)+SUMIF('Gastos agosto'!$F$24:$F$173,$B25,'Gastos agosto'!$D$24:$D$173)</f>
        <v>0</v>
      </c>
      <c r="E25" s="193">
        <f>SUMIF('Gastos septiembre'!$F$24:$F$173,$B25,'Gastos septiembre'!$C$24:$C$173)+SUMIF('Gastos septiembre'!$F$24:$F$173,$B25,'Gastos septiembre'!$D$24:$D$173)</f>
        <v>0</v>
      </c>
      <c r="F25" s="193">
        <f>SUMIF('Gastos octubre'!$F$24:$F$173,$B25,'Gastos octubre'!$C$24:$C$173)+SUMIF('Gastos octubre'!$F$24:$F$173,$B25,'Gastos octubre'!$D$24:$D$173)</f>
        <v>0</v>
      </c>
      <c r="G25" s="193">
        <f>SUMIF('Gastos noviembre'!$F$24:$F$173,$B25,'Gastos noviembre'!$C$24:$C$173)+SUMIF('Gastos noviembre'!$F$24:$F$173,$B25,'Gastos noviembre'!$D$24:$D$173)</f>
        <v>0</v>
      </c>
      <c r="H25" s="193">
        <f>SUMIF('Gastos diciembre'!$F$24:$F$173,$B25,'Gastos diciembre'!$C$24:$C$173)+SUMIF('Gastos diciembre'!$F$24:$F$173,$B25,'Gastos diciembre'!$D$24:$D$173)</f>
        <v>0</v>
      </c>
      <c r="I25" s="194">
        <f t="shared" si="0"/>
        <v>0</v>
      </c>
    </row>
    <row r="26" spans="2:9" x14ac:dyDescent="0.25">
      <c r="B26" s="189" t="str">
        <f>'Datos - Gastos'!A24</f>
        <v>Inversiones FCI</v>
      </c>
      <c r="C26" s="193">
        <f>SUMIF('Gastos julio'!$F$24:$F$173,$B26,'Gastos julio'!$C$24:$C$173)+SUMIF('Gastos julio'!$F$24:$F$173,$B26,'Gastos julio'!$D$24:$D$173)</f>
        <v>0</v>
      </c>
      <c r="D26" s="193">
        <f>SUMIF('Gastos agosto'!$F$24:$F$173,$B26,'Gastos agosto'!$C$24:$C$173)+SUMIF('Gastos agosto'!$F$24:$F$173,$B26,'Gastos agosto'!$D$24:$D$173)</f>
        <v>0</v>
      </c>
      <c r="E26" s="193">
        <f>SUMIF('Gastos septiembre'!$F$24:$F$173,$B26,'Gastos septiembre'!$C$24:$C$173)+SUMIF('Gastos septiembre'!$F$24:$F$173,$B26,'Gastos septiembre'!$D$24:$D$173)</f>
        <v>0</v>
      </c>
      <c r="F26" s="193">
        <f>SUMIF('Gastos octubre'!$F$24:$F$173,$B26,'Gastos octubre'!$C$24:$C$173)+SUMIF('Gastos octubre'!$F$24:$F$173,$B26,'Gastos octubre'!$D$24:$D$173)</f>
        <v>0</v>
      </c>
      <c r="G26" s="193">
        <f>SUMIF('Gastos noviembre'!$F$24:$F$173,$B26,'Gastos noviembre'!$C$24:$C$173)+SUMIF('Gastos noviembre'!$F$24:$F$173,$B26,'Gastos noviembre'!$D$24:$D$173)</f>
        <v>0</v>
      </c>
      <c r="H26" s="193">
        <f>SUMIF('Gastos diciembre'!$F$24:$F$173,$B26,'Gastos diciembre'!$C$24:$C$173)+SUMIF('Gastos diciembre'!$F$24:$F$173,$B26,'Gastos diciembre'!$D$24:$D$173)</f>
        <v>0</v>
      </c>
      <c r="I26" s="194">
        <f t="shared" si="0"/>
        <v>0</v>
      </c>
    </row>
    <row r="27" spans="2:9" x14ac:dyDescent="0.25">
      <c r="B27" s="189" t="str">
        <f>'Datos - Gastos'!A25</f>
        <v>Ahorros/inversiones</v>
      </c>
      <c r="C27" s="193">
        <f>SUMIF('Gastos julio'!$F$24:$F$173,$B27,'Gastos julio'!$C$24:$C$173)+SUMIF('Gastos julio'!$F$24:$F$173,$B27,'Gastos julio'!$D$24:$D$173)</f>
        <v>0</v>
      </c>
      <c r="D27" s="193">
        <f>SUMIF('Gastos agosto'!$F$24:$F$173,$B27,'Gastos agosto'!$C$24:$C$173)+SUMIF('Gastos agosto'!$F$24:$F$173,$B27,'Gastos agosto'!$D$24:$D$173)</f>
        <v>0</v>
      </c>
      <c r="E27" s="193">
        <f>SUMIF('Gastos septiembre'!$F$24:$F$173,$B27,'Gastos septiembre'!$C$24:$C$173)+SUMIF('Gastos septiembre'!$F$24:$F$173,$B27,'Gastos septiembre'!$D$24:$D$173)</f>
        <v>0</v>
      </c>
      <c r="F27" s="193">
        <f>SUMIF('Gastos octubre'!$F$24:$F$173,$B27,'Gastos octubre'!$C$24:$C$173)+SUMIF('Gastos octubre'!$F$24:$F$173,$B27,'Gastos octubre'!$D$24:$D$173)</f>
        <v>0</v>
      </c>
      <c r="G27" s="193">
        <f>SUMIF('Gastos noviembre'!$F$24:$F$173,$B27,'Gastos noviembre'!$C$24:$C$173)+SUMIF('Gastos noviembre'!$F$24:$F$173,$B27,'Gastos noviembre'!$D$24:$D$173)</f>
        <v>0</v>
      </c>
      <c r="H27" s="193">
        <f>SUMIF('Gastos diciembre'!$F$24:$F$173,$B27,'Gastos diciembre'!$C$24:$C$173)+SUMIF('Gastos diciembre'!$F$24:$F$173,$B27,'Gastos diciembre'!$D$24:$D$173)</f>
        <v>0</v>
      </c>
      <c r="I27" s="194">
        <f t="shared" si="0"/>
        <v>0</v>
      </c>
    </row>
    <row r="28" spans="2:9" x14ac:dyDescent="0.25">
      <c r="B28" s="189" t="str">
        <f>'Datos - Gastos'!A26</f>
        <v>Pago tarjetas de crédito</v>
      </c>
      <c r="C28" s="193">
        <f>SUMIF('Gastos julio'!$F$24:$F$173,$B28,'Gastos julio'!$C$24:$C$173)+SUMIF('Gastos julio'!$F$24:$F$173,$B28,'Gastos julio'!$D$24:$D$173)</f>
        <v>-692782.22</v>
      </c>
      <c r="D28" s="193">
        <f>SUMIF('Gastos agosto'!$F$24:$F$173,$B28,'Gastos agosto'!$C$24:$C$173)+SUMIF('Gastos agosto'!$F$24:$F$173,$B28,'Gastos agosto'!$D$24:$D$173)</f>
        <v>-309765.61000000004</v>
      </c>
      <c r="E28" s="193">
        <f>SUMIF('Gastos septiembre'!$F$24:$F$173,$B28,'Gastos septiembre'!$C$24:$C$173)+SUMIF('Gastos septiembre'!$F$24:$F$173,$B28,'Gastos septiembre'!$D$24:$D$173)</f>
        <v>-336416.98</v>
      </c>
      <c r="F28" s="193">
        <f>SUMIF('Gastos octubre'!$F$24:$F$173,$B28,'Gastos octubre'!$C$24:$C$173)+SUMIF('Gastos octubre'!$F$24:$F$173,$B28,'Gastos octubre'!$D$24:$D$173)</f>
        <v>0</v>
      </c>
      <c r="G28" s="193">
        <f>SUMIF('Gastos noviembre'!$F$24:$F$173,$B28,'Gastos noviembre'!$C$24:$C$173)+SUMIF('Gastos noviembre'!$F$24:$F$173,$B28,'Gastos noviembre'!$D$24:$D$173)</f>
        <v>0</v>
      </c>
      <c r="H28" s="193">
        <f>SUMIF('Gastos diciembre'!$F$24:$F$173,$B28,'Gastos diciembre'!$C$24:$C$173)+SUMIF('Gastos diciembre'!$F$24:$F$173,$B28,'Gastos diciembre'!$D$24:$D$173)</f>
        <v>0</v>
      </c>
      <c r="I28" s="194">
        <f t="shared" si="0"/>
        <v>-1338964.81</v>
      </c>
    </row>
    <row r="29" spans="2:9" x14ac:dyDescent="0.25">
      <c r="B29" s="189" t="str">
        <f>'Datos - Gastos'!A27</f>
        <v>Pago monotributo</v>
      </c>
      <c r="C29" s="193">
        <f>SUMIF('Gastos julio'!$F$24:$F$173,$B29,'Gastos julio'!$C$24:$C$173)+SUMIF('Gastos julio'!$F$24:$F$173,$B29,'Gastos julio'!$D$24:$D$173)</f>
        <v>-42386.74</v>
      </c>
      <c r="D29" s="193">
        <f>SUMIF('Gastos agosto'!$F$24:$F$173,$B29,'Gastos agosto'!$C$24:$C$173)+SUMIF('Gastos agosto'!$F$24:$F$173,$B29,'Gastos agosto'!$D$24:$D$173)</f>
        <v>-56379.08</v>
      </c>
      <c r="E29" s="193">
        <f>SUMIF('Gastos septiembre'!$F$24:$F$173,$B29,'Gastos septiembre'!$C$24:$C$173)+SUMIF('Gastos septiembre'!$F$24:$F$173,$B29,'Gastos septiembre'!$D$24:$D$173)</f>
        <v>-56379.08</v>
      </c>
      <c r="F29" s="193">
        <f>SUMIF('Gastos octubre'!$F$24:$F$173,$B29,'Gastos octubre'!$C$24:$C$173)+SUMIF('Gastos octubre'!$F$24:$F$173,$B29,'Gastos octubre'!$D$24:$D$173)</f>
        <v>0</v>
      </c>
      <c r="G29" s="193">
        <f>SUMIF('Gastos noviembre'!$F$24:$F$173,$B29,'Gastos noviembre'!$C$24:$C$173)+SUMIF('Gastos noviembre'!$F$24:$F$173,$B29,'Gastos noviembre'!$D$24:$D$173)</f>
        <v>0</v>
      </c>
      <c r="H29" s="193">
        <f>SUMIF('Gastos diciembre'!$F$24:$F$173,$B29,'Gastos diciembre'!$C$24:$C$173)+SUMIF('Gastos diciembre'!$F$24:$F$173,$B29,'Gastos diciembre'!$D$24:$D$173)</f>
        <v>0</v>
      </c>
      <c r="I29" s="194">
        <f t="shared" si="0"/>
        <v>-155144.90000000002</v>
      </c>
    </row>
    <row r="30" spans="2:9" x14ac:dyDescent="0.25">
      <c r="B30" s="189" t="str">
        <f>'Datos - Gastos'!A28</f>
        <v>Telas e insumos p costura</v>
      </c>
      <c r="C30" s="193">
        <f>SUMIF('Gastos julio'!$F$24:$F$173,$B30,'Gastos julio'!$C$24:$C$173)+SUMIF('Gastos julio'!$F$24:$F$173,$B30,'Gastos julio'!$D$24:$D$173)</f>
        <v>-32980</v>
      </c>
      <c r="D30" s="193">
        <f>SUMIF('Gastos agosto'!$F$24:$F$173,$B30,'Gastos agosto'!$C$24:$C$173)+SUMIF('Gastos agosto'!$F$24:$F$173,$B30,'Gastos agosto'!$D$24:$D$173)</f>
        <v>-2400</v>
      </c>
      <c r="E30" s="193">
        <f>SUMIF('Gastos septiembre'!$F$24:$F$173,$B30,'Gastos septiembre'!$C$24:$C$173)+SUMIF('Gastos septiembre'!$F$24:$F$173,$B30,'Gastos septiembre'!$D$24:$D$173)</f>
        <v>0</v>
      </c>
      <c r="F30" s="193">
        <f>SUMIF('Gastos octubre'!$F$24:$F$173,$B30,'Gastos octubre'!$C$24:$C$173)+SUMIF('Gastos octubre'!$F$24:$F$173,$B30,'Gastos octubre'!$D$24:$D$173)</f>
        <v>0</v>
      </c>
      <c r="G30" s="193">
        <f>SUMIF('Gastos noviembre'!$F$24:$F$173,$B30,'Gastos noviembre'!$C$24:$C$173)+SUMIF('Gastos noviembre'!$F$24:$F$173,$B30,'Gastos noviembre'!$D$24:$D$173)</f>
        <v>0</v>
      </c>
      <c r="H30" s="193">
        <f>SUMIF('Gastos diciembre'!$F$24:$F$173,$B30,'Gastos diciembre'!$C$24:$C$173)+SUMIF('Gastos diciembre'!$F$24:$F$173,$B30,'Gastos diciembre'!$D$24:$D$173)</f>
        <v>0</v>
      </c>
      <c r="I30" s="194">
        <f t="shared" si="0"/>
        <v>-35380</v>
      </c>
    </row>
    <row r="31" spans="2:9" ht="15.75" thickBot="1" x14ac:dyDescent="0.3">
      <c r="B31" s="190" t="str">
        <f>'Datos - Gastos'!A29</f>
        <v>Transferencias Jo</v>
      </c>
      <c r="C31" s="195">
        <f>SUMIF('Gastos julio'!$F$24:$F$173,$B31,'Gastos julio'!$C$24:$C$173)+SUMIF('Gastos julio'!$F$24:$F$173,$B31,'Gastos julio'!$D$24:$D$173)</f>
        <v>-25000</v>
      </c>
      <c r="D31" s="195">
        <f>SUMIF('Gastos agosto'!$F$24:$F$173,$B31,'Gastos agosto'!$C$24:$C$173)+SUMIF('Gastos agosto'!$F$24:$F$173,$B31,'Gastos agosto'!$D$24:$D$173)</f>
        <v>15000</v>
      </c>
      <c r="E31" s="195">
        <f>SUMIF('Gastos septiembre'!$F$24:$F$173,$B31,'Gastos septiembre'!$C$24:$C$173)+SUMIF('Gastos septiembre'!$F$24:$F$173,$B31,'Gastos septiembre'!$D$24:$D$173)</f>
        <v>-20000</v>
      </c>
      <c r="F31" s="195">
        <f>SUMIF('Gastos octubre'!$F$24:$F$173,$B31,'Gastos octubre'!$C$24:$C$173)+SUMIF('Gastos octubre'!$F$24:$F$173,$B31,'Gastos octubre'!$D$24:$D$173)</f>
        <v>0</v>
      </c>
      <c r="G31" s="195">
        <f>SUMIF('Gastos noviembre'!$F$24:$F$173,$B31,'Gastos noviembre'!$C$24:$C$173)+SUMIF('Gastos noviembre'!$F$24:$F$173,$B31,'Gastos noviembre'!$D$24:$D$173)</f>
        <v>0</v>
      </c>
      <c r="H31" s="195">
        <f>SUMIF('Gastos diciembre'!$F$24:$F$173,$B31,'Gastos diciembre'!$C$24:$C$173)+SUMIF('Gastos diciembre'!$F$24:$F$173,$B31,'Gastos diciembre'!$D$24:$D$173)</f>
        <v>0</v>
      </c>
      <c r="I31" s="196">
        <f t="shared" si="0"/>
        <v>-30000</v>
      </c>
    </row>
    <row r="32" spans="2:9" ht="15.75" thickBot="1" x14ac:dyDescent="0.3">
      <c r="B32" s="185" t="s">
        <v>82</v>
      </c>
      <c r="C32" s="186">
        <f t="shared" ref="C32:I32" si="1">SUM(C5:C31)</f>
        <v>1037147.9500000002</v>
      </c>
      <c r="D32" s="186">
        <f t="shared" si="1"/>
        <v>1605611.1299999997</v>
      </c>
      <c r="E32" s="186">
        <f t="shared" si="1"/>
        <v>-1080110.58</v>
      </c>
      <c r="F32" s="186">
        <f t="shared" si="1"/>
        <v>0</v>
      </c>
      <c r="G32" s="186">
        <f t="shared" si="1"/>
        <v>0</v>
      </c>
      <c r="H32" s="186">
        <f t="shared" si="1"/>
        <v>0</v>
      </c>
      <c r="I32" s="187">
        <f t="shared" si="1"/>
        <v>1562648.4999999995</v>
      </c>
    </row>
  </sheetData>
  <mergeCells count="1">
    <mergeCell ref="B2:I2"/>
  </mergeCells>
  <conditionalFormatting sqref="C5:I31">
    <cfRule type="cellIs" dxfId="92" priority="1" operator="greaterThan">
      <formula>0</formula>
    </cfRule>
    <cfRule type="cellIs" dxfId="91" priority="2" operator="lessThan">
      <formula>0</formula>
    </cfRule>
  </conditionalFormatting>
  <conditionalFormatting sqref="C32:I32">
    <cfRule type="cellIs" dxfId="90" priority="3" operator="greaterThan">
      <formula>0</formula>
    </cfRule>
    <cfRule type="cellIs" dxfId="89" priority="4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2E37-C667-4175-A6E2-DBAD9082AFCD}">
  <dimension ref="B2:L111"/>
  <sheetViews>
    <sheetView showGridLines="0" topLeftCell="J1" workbookViewId="0">
      <pane ySplit="2" topLeftCell="A3" activePane="bottomLeft" state="frozen"/>
      <selection pane="bottomLeft" activeCell="D8" sqref="D8"/>
    </sheetView>
  </sheetViews>
  <sheetFormatPr baseColWidth="10" defaultRowHeight="15" outlineLevelRow="1" outlineLevelCol="1" x14ac:dyDescent="0.25"/>
  <cols>
    <col min="1" max="1" width="2.5703125" customWidth="1"/>
    <col min="2" max="2" width="41" customWidth="1"/>
    <col min="3" max="10" width="21.28515625" customWidth="1"/>
    <col min="11" max="11" width="21.28515625" customWidth="1" outlineLevel="1"/>
    <col min="12" max="12" width="21.28515625" customWidth="1"/>
  </cols>
  <sheetData>
    <row r="2" spans="2:11" x14ac:dyDescent="0.25">
      <c r="B2" s="253" t="s">
        <v>357</v>
      </c>
      <c r="C2" s="253"/>
      <c r="D2" s="253"/>
      <c r="E2" s="253"/>
      <c r="F2" s="253"/>
      <c r="G2" s="253"/>
      <c r="H2" s="253"/>
      <c r="I2" s="253"/>
      <c r="J2" s="253"/>
      <c r="K2" s="253"/>
    </row>
    <row r="4" spans="2:11" x14ac:dyDescent="0.25">
      <c r="B4" s="269" t="s">
        <v>358</v>
      </c>
      <c r="C4" s="254"/>
      <c r="F4" s="256" t="s">
        <v>411</v>
      </c>
      <c r="G4" s="256"/>
      <c r="H4" s="261" t="s">
        <v>412</v>
      </c>
      <c r="I4" s="261"/>
      <c r="J4" s="270" t="s">
        <v>413</v>
      </c>
      <c r="K4" s="270"/>
    </row>
    <row r="5" spans="2:11" x14ac:dyDescent="0.25">
      <c r="B5" s="114" t="s">
        <v>359</v>
      </c>
      <c r="C5" s="255" t="s">
        <v>360</v>
      </c>
      <c r="D5" s="255"/>
      <c r="F5" s="257">
        <f>$C$13</f>
        <v>1758999.38</v>
      </c>
      <c r="G5" s="258"/>
      <c r="H5" s="262">
        <f>-$C$14</f>
        <v>781794.94333333336</v>
      </c>
      <c r="I5" s="263"/>
      <c r="J5" s="271">
        <f>$C$15</f>
        <v>977204.43666666653</v>
      </c>
      <c r="K5" s="272"/>
    </row>
    <row r="6" spans="2:11" x14ac:dyDescent="0.25">
      <c r="B6" s="114" t="s">
        <v>361</v>
      </c>
      <c r="C6" s="212" cm="1">
        <f t="array" ref="C6">MAX(1,SUMPRODUCT(('Gastos 2026'!C32:H32&lt;&gt;0)*1))</f>
        <v>3</v>
      </c>
      <c r="F6" s="259"/>
      <c r="G6" s="260"/>
      <c r="H6" s="264"/>
      <c r="I6" s="265"/>
      <c r="J6" s="273"/>
      <c r="K6" s="274"/>
    </row>
    <row r="7" spans="2:11" x14ac:dyDescent="0.25">
      <c r="B7" s="114" t="s">
        <v>362</v>
      </c>
      <c r="C7" s="229">
        <v>0</v>
      </c>
      <c r="F7" s="266" t="s">
        <v>390</v>
      </c>
      <c r="G7" s="266"/>
      <c r="H7" s="268" t="s">
        <v>414</v>
      </c>
      <c r="I7" s="268"/>
      <c r="J7" s="275" t="s">
        <v>415</v>
      </c>
      <c r="K7" s="275"/>
    </row>
    <row r="8" spans="2:11" x14ac:dyDescent="0.25">
      <c r="B8" s="230" t="s">
        <v>363</v>
      </c>
      <c r="C8" s="229">
        <v>0</v>
      </c>
      <c r="F8" s="267">
        <f>$C$17</f>
        <v>0.55554564019611341</v>
      </c>
      <c r="G8" s="258"/>
      <c r="H8" s="262">
        <f>$C$16</f>
        <v>1833333.3333333333</v>
      </c>
      <c r="I8" s="263"/>
      <c r="J8" s="271">
        <f>$C$19</f>
        <v>11726453.239999998</v>
      </c>
      <c r="K8" s="272"/>
    </row>
    <row r="9" spans="2:11" x14ac:dyDescent="0.25">
      <c r="B9" s="197" t="s">
        <v>397</v>
      </c>
      <c r="F9" s="259"/>
      <c r="G9" s="260"/>
      <c r="H9" s="264"/>
      <c r="I9" s="265"/>
      <c r="J9" s="273"/>
      <c r="K9" s="274"/>
    </row>
    <row r="11" spans="2:11" ht="15.75" thickBot="1" x14ac:dyDescent="0.3">
      <c r="B11" s="254" t="s">
        <v>377</v>
      </c>
      <c r="C11" s="254"/>
      <c r="D11" s="254"/>
      <c r="E11" s="254"/>
    </row>
    <row r="12" spans="2:11" x14ac:dyDescent="0.25">
      <c r="B12" s="175" t="s">
        <v>378</v>
      </c>
      <c r="C12" s="176" t="s">
        <v>379</v>
      </c>
      <c r="D12" s="176" t="s">
        <v>380</v>
      </c>
      <c r="E12" s="177" t="s">
        <v>381</v>
      </c>
    </row>
    <row r="13" spans="2:11" x14ac:dyDescent="0.25">
      <c r="B13" s="201" t="s">
        <v>382</v>
      </c>
      <c r="C13" s="202">
        <f>SUMIF($C$23:$C$49,"Ingreso",$D$23:$D$49)</f>
        <v>1758999.38</v>
      </c>
      <c r="D13" s="202">
        <f>SUMIF($C$23:$C$49,"Ingreso",$F$23:$F$49)</f>
        <v>1758999.38</v>
      </c>
      <c r="E13" s="203">
        <f>D13-C13</f>
        <v>0</v>
      </c>
    </row>
    <row r="14" spans="2:11" x14ac:dyDescent="0.25">
      <c r="B14" s="201" t="s">
        <v>383</v>
      </c>
      <c r="C14" s="202">
        <f>SUMIF($C$23:$C$49,"Gasto",$D$23:$D$49)</f>
        <v>-781794.94333333336</v>
      </c>
      <c r="D14" s="202">
        <f>SUMIF($C$23:$C$49,"Gasto",$F$23:$F$49)</f>
        <v>-781794.94333333336</v>
      </c>
      <c r="E14" s="203">
        <f>D14-C14</f>
        <v>0</v>
      </c>
    </row>
    <row r="15" spans="2:11" x14ac:dyDescent="0.25">
      <c r="B15" s="201" t="s">
        <v>384</v>
      </c>
      <c r="C15" s="204">
        <f>C13+C14</f>
        <v>977204.43666666653</v>
      </c>
      <c r="D15" s="204">
        <f>D13+D14</f>
        <v>977204.43666666653</v>
      </c>
      <c r="E15" s="179">
        <f>D15-C15</f>
        <v>0</v>
      </c>
    </row>
    <row r="16" spans="2:11" x14ac:dyDescent="0.25">
      <c r="B16" s="201" t="s">
        <v>396</v>
      </c>
      <c r="C16" s="202">
        <f>IF($C$5="Promedio meses cargados",SUM($C$58:$H$58)/$C$6,INDEX($C$58:$H$58,MATCH($C$5,$C$54:$H$54,0)))</f>
        <v>1833333.3333333333</v>
      </c>
      <c r="D16" s="202">
        <f>C16+(D15-C15)</f>
        <v>1833333.3333333333</v>
      </c>
      <c r="E16" s="203">
        <f>D16-C16</f>
        <v>0</v>
      </c>
    </row>
    <row r="17" spans="2:12" x14ac:dyDescent="0.25">
      <c r="B17" s="201" t="s">
        <v>385</v>
      </c>
      <c r="C17" s="205">
        <f>IFERROR(C15/C13,"")</f>
        <v>0.55554564019611341</v>
      </c>
      <c r="D17" s="205">
        <f>IFERROR(D15/D13,"")</f>
        <v>0.55554564019611341</v>
      </c>
      <c r="E17" s="206">
        <f>IFERROR(D17-C17,"")</f>
        <v>0</v>
      </c>
    </row>
    <row r="18" spans="2:12" x14ac:dyDescent="0.25">
      <c r="B18" s="201" t="s">
        <v>386</v>
      </c>
      <c r="C18" s="207">
        <f>IFERROR(C16/C13,"")</f>
        <v>1.0422592265685355</v>
      </c>
      <c r="D18" s="207">
        <f>IFERROR(D16/D13,"")</f>
        <v>1.0422592265685355</v>
      </c>
      <c r="E18" s="208">
        <f>IFERROR(D18-C18,"")</f>
        <v>0</v>
      </c>
    </row>
    <row r="19" spans="2:12" ht="15.75" thickBot="1" x14ac:dyDescent="0.3">
      <c r="B19" s="209" t="s">
        <v>387</v>
      </c>
      <c r="C19" s="210">
        <f>C15*12</f>
        <v>11726453.239999998</v>
      </c>
      <c r="D19" s="210">
        <f>D15*12</f>
        <v>11726453.239999998</v>
      </c>
      <c r="E19" s="211">
        <f>D19-C19</f>
        <v>0</v>
      </c>
    </row>
    <row r="21" spans="2:12" ht="15.75" thickBot="1" x14ac:dyDescent="0.3">
      <c r="B21" s="254" t="s">
        <v>364</v>
      </c>
      <c r="C21" s="254"/>
      <c r="D21" s="254"/>
      <c r="E21" s="254"/>
      <c r="F21" s="254"/>
      <c r="G21" s="254"/>
      <c r="H21" s="254"/>
      <c r="I21" s="254"/>
      <c r="J21" s="254"/>
      <c r="K21" s="254"/>
    </row>
    <row r="22" spans="2:12" x14ac:dyDescent="0.25">
      <c r="B22" s="175" t="s">
        <v>123</v>
      </c>
      <c r="C22" s="176" t="s">
        <v>3</v>
      </c>
      <c r="D22" s="176" t="s">
        <v>365</v>
      </c>
      <c r="E22" s="176" t="s">
        <v>366</v>
      </c>
      <c r="F22" s="176" t="s">
        <v>367</v>
      </c>
      <c r="G22" s="176" t="s">
        <v>368</v>
      </c>
      <c r="H22" s="176" t="s">
        <v>369</v>
      </c>
      <c r="I22" s="176" t="s">
        <v>370</v>
      </c>
      <c r="J22" s="176" t="s">
        <v>371</v>
      </c>
      <c r="K22" s="232" t="s">
        <v>372</v>
      </c>
      <c r="L22" s="234" t="s">
        <v>398</v>
      </c>
    </row>
    <row r="23" spans="2:12" x14ac:dyDescent="0.25">
      <c r="B23" s="178" t="str">
        <f>'Gastos 2026'!B5</f>
        <v>Pago Claude/Cursor</v>
      </c>
      <c r="C23" s="213" t="s">
        <v>373</v>
      </c>
      <c r="D23" s="202">
        <f>IF($C$5="Promedio meses cargados",'Gastos 2026'!I5/$C$6,INDEX('Gastos 2026'!$C5:$H5,MATCH($C$5,'Gastos 2026'!$C$4:$H$4,0)))</f>
        <v>25383.333333333332</v>
      </c>
      <c r="E23" s="214">
        <v>0</v>
      </c>
      <c r="F23" s="202">
        <f>IF($C23="Ingreso",$D23*(1+$C$7),IF($C23="Gasto",$D23*(1-MIN(1,$E23+$C$8)),$D23))</f>
        <v>25383.333333333332</v>
      </c>
      <c r="G23" s="202">
        <f>$F23-$D23</f>
        <v>0</v>
      </c>
      <c r="H23" s="202">
        <f>$G23*12</f>
        <v>0</v>
      </c>
      <c r="I23" s="215">
        <f>IFERROR(IF($C23="Gasto",$D23/SUMIF($C$23:$C$49,"Gasto",$D$23:$D$49),""),"")</f>
        <v>-3.2468019331394753E-2</v>
      </c>
      <c r="J23" s="216">
        <f>IFERROR(IF($C23="Gasto",RANK($K23,$K$23:$K$49),""),"")</f>
        <v>19</v>
      </c>
      <c r="K23" s="233">
        <f>IF($C23="Gasto",-$D23,"")</f>
        <v>-25383.333333333332</v>
      </c>
      <c r="L23" s="235" t="s">
        <v>399</v>
      </c>
    </row>
    <row r="24" spans="2:12" x14ac:dyDescent="0.25">
      <c r="B24" s="178" t="str">
        <f>'Gastos 2026'!B6</f>
        <v>Salidas a cenar/almorzar</v>
      </c>
      <c r="C24" s="213" t="s">
        <v>373</v>
      </c>
      <c r="D24" s="202">
        <f>IF($C$5="Promedio meses cargados",'Gastos 2026'!I6/$C$6,INDEX('Gastos 2026'!$C6:$H6,MATCH($C$5,'Gastos 2026'!$C$4:$H$4,0)))</f>
        <v>-144786.91333333333</v>
      </c>
      <c r="E24" s="214">
        <v>0</v>
      </c>
      <c r="F24" s="202">
        <f t="shared" ref="F24:F49" si="0">IF($C24="Ingreso",$D24*(1+$C$7),IF($C24="Gasto",$D24*(1-MIN(1,$E24+$C$8)),$D24))</f>
        <v>-144786.91333333333</v>
      </c>
      <c r="G24" s="202">
        <f t="shared" ref="G24:G49" si="1">$F24-$D24</f>
        <v>0</v>
      </c>
      <c r="H24" s="202">
        <f t="shared" ref="H24:H49" si="2">$G24*12</f>
        <v>0</v>
      </c>
      <c r="I24" s="215">
        <f t="shared" ref="I24:I49" si="3">IFERROR(IF($C24="Gasto",$D24/SUMIF($C$23:$C$49,"Gasto",$D$23:$D$49),""),"")</f>
        <v>0.18519806832723479</v>
      </c>
      <c r="J24" s="216">
        <f t="shared" ref="J24:J49" si="4">IFERROR(IF($C24="Gasto",RANK($K24,$K$23:$K$49),""),"")</f>
        <v>1</v>
      </c>
      <c r="K24" s="233">
        <f t="shared" ref="K24:K49" si="5">IF($C24="Gasto",-$D24,"")</f>
        <v>144786.91333333333</v>
      </c>
      <c r="L24" s="235" t="s">
        <v>400</v>
      </c>
    </row>
    <row r="25" spans="2:12" x14ac:dyDescent="0.25">
      <c r="B25" s="178" t="str">
        <f>'Gastos 2026'!B7</f>
        <v>Juntadas a cenar/almorzar</v>
      </c>
      <c r="C25" s="213" t="s">
        <v>373</v>
      </c>
      <c r="D25" s="202">
        <f>IF($C$5="Promedio meses cargados",'Gastos 2026'!I7/$C$6,INDEX('Gastos 2026'!$C7:$H7,MATCH($C$5,'Gastos 2026'!$C$4:$H$4,0)))</f>
        <v>-95250.156666666662</v>
      </c>
      <c r="E25" s="214">
        <v>0</v>
      </c>
      <c r="F25" s="202">
        <f t="shared" si="0"/>
        <v>-95250.156666666662</v>
      </c>
      <c r="G25" s="202">
        <f t="shared" si="1"/>
        <v>0</v>
      </c>
      <c r="H25" s="202">
        <f t="shared" si="2"/>
        <v>0</v>
      </c>
      <c r="I25" s="215">
        <f t="shared" si="3"/>
        <v>0.12183521712298274</v>
      </c>
      <c r="J25" s="216">
        <f t="shared" si="4"/>
        <v>2</v>
      </c>
      <c r="K25" s="233">
        <f t="shared" si="5"/>
        <v>95250.156666666662</v>
      </c>
      <c r="L25" s="235" t="s">
        <v>400</v>
      </c>
    </row>
    <row r="26" spans="2:12" x14ac:dyDescent="0.25">
      <c r="B26" s="178" t="str">
        <f>'Gastos 2026'!B8</f>
        <v>Salidas a desyunar/merendar</v>
      </c>
      <c r="C26" s="213" t="s">
        <v>373</v>
      </c>
      <c r="D26" s="202">
        <f>IF($C$5="Promedio meses cargados",'Gastos 2026'!I8/$C$6,INDEX('Gastos 2026'!$C8:$H8,MATCH($C$5,'Gastos 2026'!$C$4:$H$4,0)))</f>
        <v>-63766.666666666664</v>
      </c>
      <c r="E26" s="214">
        <v>0</v>
      </c>
      <c r="F26" s="202">
        <f t="shared" si="0"/>
        <v>-63766.666666666664</v>
      </c>
      <c r="G26" s="202">
        <f t="shared" si="1"/>
        <v>0</v>
      </c>
      <c r="H26" s="202">
        <f t="shared" si="2"/>
        <v>0</v>
      </c>
      <c r="I26" s="215">
        <f t="shared" si="3"/>
        <v>8.1564439896202448E-2</v>
      </c>
      <c r="J26" s="216">
        <f t="shared" si="4"/>
        <v>7</v>
      </c>
      <c r="K26" s="233">
        <f t="shared" si="5"/>
        <v>63766.666666666664</v>
      </c>
      <c r="L26" s="235" t="s">
        <v>400</v>
      </c>
    </row>
    <row r="27" spans="2:12" x14ac:dyDescent="0.25">
      <c r="B27" s="178" t="str">
        <f>'Gastos 2026'!B9</f>
        <v>Juntadas a desayunar/merendar</v>
      </c>
      <c r="C27" s="213" t="s">
        <v>373</v>
      </c>
      <c r="D27" s="202">
        <f>IF($C$5="Promedio meses cargados",'Gastos 2026'!I9/$C$6,INDEX('Gastos 2026'!$C9:$H9,MATCH($C$5,'Gastos 2026'!$C$4:$H$4,0)))</f>
        <v>0</v>
      </c>
      <c r="E27" s="214">
        <v>0</v>
      </c>
      <c r="F27" s="202">
        <f t="shared" si="0"/>
        <v>0</v>
      </c>
      <c r="G27" s="202">
        <f t="shared" si="1"/>
        <v>0</v>
      </c>
      <c r="H27" s="202">
        <f t="shared" si="2"/>
        <v>0</v>
      </c>
      <c r="I27" s="215">
        <f t="shared" si="3"/>
        <v>0</v>
      </c>
      <c r="J27" s="216">
        <f t="shared" si="4"/>
        <v>16</v>
      </c>
      <c r="K27" s="233">
        <f t="shared" si="5"/>
        <v>0</v>
      </c>
      <c r="L27" s="235" t="s">
        <v>400</v>
      </c>
    </row>
    <row r="28" spans="2:12" x14ac:dyDescent="0.25">
      <c r="B28" s="178" t="str">
        <f>'Gastos 2026'!B10</f>
        <v>Salidas a tomar algo</v>
      </c>
      <c r="C28" s="213" t="s">
        <v>373</v>
      </c>
      <c r="D28" s="202">
        <f>IF($C$5="Promedio meses cargados",'Gastos 2026'!I10/$C$6,INDEX('Gastos 2026'!$C10:$H10,MATCH($C$5,'Gastos 2026'!$C$4:$H$4,0)))</f>
        <v>-60076.666666666664</v>
      </c>
      <c r="E28" s="214">
        <v>0</v>
      </c>
      <c r="F28" s="202">
        <f t="shared" si="0"/>
        <v>-60076.666666666664</v>
      </c>
      <c r="G28" s="202">
        <f t="shared" si="1"/>
        <v>0</v>
      </c>
      <c r="H28" s="202">
        <f t="shared" si="2"/>
        <v>0</v>
      </c>
      <c r="I28" s="215">
        <f t="shared" si="3"/>
        <v>7.6844532161487539E-2</v>
      </c>
      <c r="J28" s="216">
        <f t="shared" si="4"/>
        <v>8</v>
      </c>
      <c r="K28" s="233">
        <f t="shared" si="5"/>
        <v>60076.666666666664</v>
      </c>
      <c r="L28" s="235" t="s">
        <v>400</v>
      </c>
    </row>
    <row r="29" spans="2:12" x14ac:dyDescent="0.25">
      <c r="B29" s="178" t="str">
        <f>'Gastos 2026'!B11</f>
        <v>Fiestas</v>
      </c>
      <c r="C29" s="213" t="s">
        <v>373</v>
      </c>
      <c r="D29" s="202">
        <f>IF($C$5="Promedio meses cargados",'Gastos 2026'!I11/$C$6,INDEX('Gastos 2026'!$C11:$H11,MATCH($C$5,'Gastos 2026'!$C$4:$H$4,0)))</f>
        <v>-8200</v>
      </c>
      <c r="E29" s="214">
        <v>0</v>
      </c>
      <c r="F29" s="202">
        <f t="shared" si="0"/>
        <v>-8200</v>
      </c>
      <c r="G29" s="202">
        <f t="shared" si="1"/>
        <v>0</v>
      </c>
      <c r="H29" s="202">
        <f t="shared" si="2"/>
        <v>0</v>
      </c>
      <c r="I29" s="215">
        <f t="shared" si="3"/>
        <v>1.0488683854922009E-2</v>
      </c>
      <c r="J29" s="216">
        <f t="shared" si="4"/>
        <v>14</v>
      </c>
      <c r="K29" s="233">
        <f t="shared" si="5"/>
        <v>8200</v>
      </c>
      <c r="L29" s="235" t="s">
        <v>401</v>
      </c>
    </row>
    <row r="30" spans="2:12" x14ac:dyDescent="0.25">
      <c r="B30" s="178" t="str">
        <f>'Gastos 2026'!B12</f>
        <v>Auto</v>
      </c>
      <c r="C30" s="213" t="s">
        <v>373</v>
      </c>
      <c r="D30" s="202">
        <f>IF($C$5="Promedio meses cargados",'Gastos 2026'!I12/$C$6,INDEX('Gastos 2026'!$C12:$H12,MATCH($C$5,'Gastos 2026'!$C$4:$H$4,0)))</f>
        <v>-85866.666666666672</v>
      </c>
      <c r="E30" s="214">
        <v>0</v>
      </c>
      <c r="F30" s="202">
        <f t="shared" si="0"/>
        <v>-85866.666666666672</v>
      </c>
      <c r="G30" s="202">
        <f t="shared" si="1"/>
        <v>0</v>
      </c>
      <c r="H30" s="202">
        <f t="shared" si="2"/>
        <v>0</v>
      </c>
      <c r="I30" s="215">
        <f t="shared" si="3"/>
        <v>0.10983272199300445</v>
      </c>
      <c r="J30" s="216">
        <f t="shared" si="4"/>
        <v>3</v>
      </c>
      <c r="K30" s="233">
        <f t="shared" si="5"/>
        <v>85866.666666666672</v>
      </c>
      <c r="L30" s="235" t="s">
        <v>402</v>
      </c>
    </row>
    <row r="31" spans="2:12" x14ac:dyDescent="0.25">
      <c r="B31" s="178" t="str">
        <f>'Gastos 2026'!B13</f>
        <v>Celular</v>
      </c>
      <c r="C31" s="213" t="s">
        <v>373</v>
      </c>
      <c r="D31" s="202">
        <f>IF($C$5="Promedio meses cargados",'Gastos 2026'!I13/$C$6,INDEX('Gastos 2026'!$C13:$H13,MATCH($C$5,'Gastos 2026'!$C$4:$H$4,0)))</f>
        <v>-2333.3333333333335</v>
      </c>
      <c r="E31" s="214">
        <v>0</v>
      </c>
      <c r="F31" s="202">
        <f t="shared" si="0"/>
        <v>-2333.3333333333335</v>
      </c>
      <c r="G31" s="202">
        <f t="shared" si="1"/>
        <v>0</v>
      </c>
      <c r="H31" s="202">
        <f t="shared" si="2"/>
        <v>0</v>
      </c>
      <c r="I31" s="215">
        <f t="shared" si="3"/>
        <v>2.9845848367664254E-3</v>
      </c>
      <c r="J31" s="216">
        <f t="shared" si="4"/>
        <v>15</v>
      </c>
      <c r="K31" s="233">
        <f t="shared" si="5"/>
        <v>2333.3333333333335</v>
      </c>
      <c r="L31" s="235" t="s">
        <v>399</v>
      </c>
    </row>
    <row r="32" spans="2:12" x14ac:dyDescent="0.25">
      <c r="B32" s="178" t="str">
        <f>'Gastos 2026'!B14</f>
        <v>Farmacia/Cosméticos</v>
      </c>
      <c r="C32" s="213" t="s">
        <v>373</v>
      </c>
      <c r="D32" s="202">
        <f>IF($C$5="Promedio meses cargados",'Gastos 2026'!I14/$C$6,INDEX('Gastos 2026'!$C14:$H14,MATCH($C$5,'Gastos 2026'!$C$4:$H$4,0)))</f>
        <v>-20699.706666666665</v>
      </c>
      <c r="E32" s="214">
        <v>0</v>
      </c>
      <c r="F32" s="202">
        <f t="shared" si="0"/>
        <v>-20699.706666666665</v>
      </c>
      <c r="G32" s="202">
        <f t="shared" si="1"/>
        <v>0</v>
      </c>
      <c r="H32" s="202">
        <f t="shared" si="2"/>
        <v>0</v>
      </c>
      <c r="I32" s="215">
        <f t="shared" si="3"/>
        <v>2.6477155989791234E-2</v>
      </c>
      <c r="J32" s="216">
        <f t="shared" si="4"/>
        <v>11</v>
      </c>
      <c r="K32" s="233">
        <f t="shared" si="5"/>
        <v>20699.706666666665</v>
      </c>
      <c r="L32" s="235" t="s">
        <v>403</v>
      </c>
    </row>
    <row r="33" spans="2:12" x14ac:dyDescent="0.25">
      <c r="B33" s="178" t="str">
        <f>'Gastos 2026'!B15</f>
        <v>Ropa</v>
      </c>
      <c r="C33" s="213" t="s">
        <v>373</v>
      </c>
      <c r="D33" s="202">
        <f>IF($C$5="Promedio meses cargados",'Gastos 2026'!I15/$C$6,INDEX('Gastos 2026'!$C15:$H15,MATCH($C$5,'Gastos 2026'!$C$4:$H$4,0)))</f>
        <v>0</v>
      </c>
      <c r="E33" s="214">
        <v>0</v>
      </c>
      <c r="F33" s="202">
        <f t="shared" si="0"/>
        <v>0</v>
      </c>
      <c r="G33" s="202">
        <f t="shared" si="1"/>
        <v>0</v>
      </c>
      <c r="H33" s="202">
        <f t="shared" si="2"/>
        <v>0</v>
      </c>
      <c r="I33" s="215">
        <f t="shared" si="3"/>
        <v>0</v>
      </c>
      <c r="J33" s="216">
        <f t="shared" si="4"/>
        <v>16</v>
      </c>
      <c r="K33" s="233">
        <f t="shared" si="5"/>
        <v>0</v>
      </c>
      <c r="L33" s="235" t="s">
        <v>404</v>
      </c>
    </row>
    <row r="34" spans="2:12" x14ac:dyDescent="0.25">
      <c r="B34" s="178" t="str">
        <f>'Gastos 2026'!B16</f>
        <v>Súper</v>
      </c>
      <c r="C34" s="213" t="s">
        <v>373</v>
      </c>
      <c r="D34" s="202">
        <f>IF($C$5="Promedio meses cargados",'Gastos 2026'!I16/$C$6,INDEX('Gastos 2026'!$C16:$H16,MATCH($C$5,'Gastos 2026'!$C$4:$H$4,0)))</f>
        <v>-11349.333333333334</v>
      </c>
      <c r="E34" s="214">
        <v>0</v>
      </c>
      <c r="F34" s="202">
        <f t="shared" si="0"/>
        <v>-11349.333333333334</v>
      </c>
      <c r="G34" s="202">
        <f t="shared" si="1"/>
        <v>0</v>
      </c>
      <c r="H34" s="202">
        <f t="shared" si="2"/>
        <v>0</v>
      </c>
      <c r="I34" s="215">
        <f t="shared" si="3"/>
        <v>1.4517020646031893E-2</v>
      </c>
      <c r="J34" s="216">
        <f t="shared" si="4"/>
        <v>13</v>
      </c>
      <c r="K34" s="233">
        <f t="shared" si="5"/>
        <v>11349.333333333334</v>
      </c>
      <c r="L34" s="235" t="s">
        <v>405</v>
      </c>
    </row>
    <row r="35" spans="2:12" x14ac:dyDescent="0.25">
      <c r="B35" s="178" t="str">
        <f>'Gastos 2026'!B17</f>
        <v>Gimnasio</v>
      </c>
      <c r="C35" s="213" t="s">
        <v>373</v>
      </c>
      <c r="D35" s="202">
        <f>IF($C$5="Promedio meses cargados",'Gastos 2026'!I17/$C$6,INDEX('Gastos 2026'!$C17:$H17,MATCH($C$5,'Gastos 2026'!$C$4:$H$4,0)))</f>
        <v>-75333.333333333328</v>
      </c>
      <c r="E35" s="214">
        <v>0</v>
      </c>
      <c r="F35" s="202">
        <f t="shared" si="0"/>
        <v>-75333.333333333328</v>
      </c>
      <c r="G35" s="202">
        <f t="shared" si="1"/>
        <v>0</v>
      </c>
      <c r="H35" s="202">
        <f t="shared" si="2"/>
        <v>0</v>
      </c>
      <c r="I35" s="215">
        <f t="shared" si="3"/>
        <v>9.6359453301316011E-2</v>
      </c>
      <c r="J35" s="216">
        <f t="shared" si="4"/>
        <v>5</v>
      </c>
      <c r="K35" s="233">
        <f t="shared" si="5"/>
        <v>75333.333333333328</v>
      </c>
      <c r="L35" s="235" t="s">
        <v>403</v>
      </c>
    </row>
    <row r="36" spans="2:12" x14ac:dyDescent="0.25">
      <c r="B36" s="178" t="str">
        <f>'Gastos 2026'!B18</f>
        <v>Psicóloga</v>
      </c>
      <c r="C36" s="213" t="s">
        <v>373</v>
      </c>
      <c r="D36" s="202">
        <f>IF($C$5="Promedio meses cargados",'Gastos 2026'!I18/$C$6,INDEX('Gastos 2026'!$C18:$H18,MATCH($C$5,'Gastos 2026'!$C$4:$H$4,0)))</f>
        <v>-68274.666666666672</v>
      </c>
      <c r="E36" s="214">
        <v>0</v>
      </c>
      <c r="F36" s="202">
        <f t="shared" si="0"/>
        <v>-68274.666666666672</v>
      </c>
      <c r="G36" s="202">
        <f t="shared" si="1"/>
        <v>0</v>
      </c>
      <c r="H36" s="202">
        <f t="shared" si="2"/>
        <v>0</v>
      </c>
      <c r="I36" s="215">
        <f t="shared" si="3"/>
        <v>8.7330657800835182E-2</v>
      </c>
      <c r="J36" s="216">
        <f t="shared" si="4"/>
        <v>6</v>
      </c>
      <c r="K36" s="233">
        <f t="shared" si="5"/>
        <v>68274.666666666672</v>
      </c>
      <c r="L36" s="235" t="s">
        <v>403</v>
      </c>
    </row>
    <row r="37" spans="2:12" x14ac:dyDescent="0.25">
      <c r="B37" s="178" t="str">
        <f>'Gastos 2026'!B19</f>
        <v>Delivery</v>
      </c>
      <c r="C37" s="213" t="s">
        <v>373</v>
      </c>
      <c r="D37" s="202">
        <f>IF($C$5="Promedio meses cargados",'Gastos 2026'!I19/$C$6,INDEX('Gastos 2026'!$C19:$H19,MATCH($C$5,'Gastos 2026'!$C$4:$H$4,0)))</f>
        <v>-29852.533333333336</v>
      </c>
      <c r="E37" s="214">
        <v>0</v>
      </c>
      <c r="F37" s="202">
        <f t="shared" si="0"/>
        <v>-29852.533333333336</v>
      </c>
      <c r="G37" s="202">
        <f t="shared" si="1"/>
        <v>0</v>
      </c>
      <c r="H37" s="202">
        <f t="shared" si="2"/>
        <v>0</v>
      </c>
      <c r="I37" s="215">
        <f t="shared" si="3"/>
        <v>3.8184607853884688E-2</v>
      </c>
      <c r="J37" s="216">
        <f t="shared" si="4"/>
        <v>10</v>
      </c>
      <c r="K37" s="233">
        <f t="shared" si="5"/>
        <v>29852.533333333336</v>
      </c>
      <c r="L37" s="235" t="s">
        <v>400</v>
      </c>
    </row>
    <row r="38" spans="2:12" x14ac:dyDescent="0.25">
      <c r="B38" s="178" t="str">
        <f>'Gastos 2026'!B20</f>
        <v>Regalos</v>
      </c>
      <c r="C38" s="213" t="s">
        <v>373</v>
      </c>
      <c r="D38" s="202">
        <f>IF($C$5="Promedio meses cargados",'Gastos 2026'!I20/$C$6,INDEX('Gastos 2026'!$C20:$H20,MATCH($C$5,'Gastos 2026'!$C$4:$H$4,0)))</f>
        <v>150</v>
      </c>
      <c r="E38" s="214">
        <v>0</v>
      </c>
      <c r="F38" s="202">
        <f t="shared" si="0"/>
        <v>150</v>
      </c>
      <c r="G38" s="202">
        <f t="shared" si="1"/>
        <v>0</v>
      </c>
      <c r="H38" s="202">
        <f t="shared" si="2"/>
        <v>0</v>
      </c>
      <c r="I38" s="215">
        <f t="shared" si="3"/>
        <v>-1.9186616807784161E-4</v>
      </c>
      <c r="J38" s="216">
        <f t="shared" si="4"/>
        <v>18</v>
      </c>
      <c r="K38" s="233">
        <f t="shared" si="5"/>
        <v>-150</v>
      </c>
      <c r="L38" s="235" t="s">
        <v>401</v>
      </c>
    </row>
    <row r="39" spans="2:12" x14ac:dyDescent="0.25">
      <c r="B39" s="178" t="str">
        <f>'Gastos 2026'!B21</f>
        <v>Entradas fiestas/conciertos/otros eventos</v>
      </c>
      <c r="C39" s="213" t="s">
        <v>373</v>
      </c>
      <c r="D39" s="202">
        <f>IF($C$5="Promedio meses cargados",'Gastos 2026'!I21/$C$6,INDEX('Gastos 2026'!$C21:$H21,MATCH($C$5,'Gastos 2026'!$C$4:$H$4,0)))</f>
        <v>-78030</v>
      </c>
      <c r="E39" s="214">
        <v>0</v>
      </c>
      <c r="F39" s="202">
        <f t="shared" si="0"/>
        <v>-78030</v>
      </c>
      <c r="G39" s="202">
        <f t="shared" si="1"/>
        <v>0</v>
      </c>
      <c r="H39" s="202">
        <f t="shared" si="2"/>
        <v>0</v>
      </c>
      <c r="I39" s="215">
        <f t="shared" si="3"/>
        <v>9.9808780634093208E-2</v>
      </c>
      <c r="J39" s="216">
        <f t="shared" si="4"/>
        <v>4</v>
      </c>
      <c r="K39" s="233">
        <f t="shared" si="5"/>
        <v>78030</v>
      </c>
      <c r="L39" s="235" t="s">
        <v>401</v>
      </c>
    </row>
    <row r="40" spans="2:12" x14ac:dyDescent="0.25">
      <c r="B40" s="178" t="str">
        <f>'Gastos 2026'!B22</f>
        <v>Pago de honorarios Quantum</v>
      </c>
      <c r="C40" s="213" t="s">
        <v>374</v>
      </c>
      <c r="D40" s="202">
        <f>IF($C$5="Promedio meses cargados",'Gastos 2026'!I22/$C$6,INDEX('Gastos 2026'!$C22:$H22,MATCH($C$5,'Gastos 2026'!$C$4:$H$4,0)))</f>
        <v>1392832.7133333331</v>
      </c>
      <c r="E40" s="214">
        <v>0</v>
      </c>
      <c r="F40" s="202">
        <f t="shared" si="0"/>
        <v>1392832.7133333331</v>
      </c>
      <c r="G40" s="202">
        <f t="shared" si="1"/>
        <v>0</v>
      </c>
      <c r="H40" s="202">
        <f t="shared" si="2"/>
        <v>0</v>
      </c>
      <c r="I40" s="215" t="str">
        <f t="shared" si="3"/>
        <v/>
      </c>
      <c r="J40" s="216" t="str">
        <f t="shared" si="4"/>
        <v/>
      </c>
      <c r="K40" s="233" t="str">
        <f t="shared" si="5"/>
        <v/>
      </c>
      <c r="L40" s="235" t="s">
        <v>69</v>
      </c>
    </row>
    <row r="41" spans="2:12" x14ac:dyDescent="0.25">
      <c r="B41" s="178" t="str">
        <f>'Gastos 2026'!B23</f>
        <v>Pago de honorarios Axis</v>
      </c>
      <c r="C41" s="213" t="s">
        <v>374</v>
      </c>
      <c r="D41" s="202">
        <f>IF($C$5="Promedio meses cargados",'Gastos 2026'!I23/$C$6,INDEX('Gastos 2026'!$C23:$H23,MATCH($C$5,'Gastos 2026'!$C$4:$H$4,0)))</f>
        <v>309500</v>
      </c>
      <c r="E41" s="214">
        <v>0</v>
      </c>
      <c r="F41" s="202">
        <f t="shared" si="0"/>
        <v>309500</v>
      </c>
      <c r="G41" s="202">
        <f t="shared" si="1"/>
        <v>0</v>
      </c>
      <c r="H41" s="202">
        <f t="shared" si="2"/>
        <v>0</v>
      </c>
      <c r="I41" s="215" t="str">
        <f t="shared" si="3"/>
        <v/>
      </c>
      <c r="J41" s="216" t="str">
        <f t="shared" si="4"/>
        <v/>
      </c>
      <c r="K41" s="233" t="str">
        <f t="shared" si="5"/>
        <v/>
      </c>
      <c r="L41" s="235" t="s">
        <v>69</v>
      </c>
    </row>
    <row r="42" spans="2:12" x14ac:dyDescent="0.25">
      <c r="B42" s="178" t="str">
        <f>'Gastos 2026'!B24</f>
        <v>Otros honorarios</v>
      </c>
      <c r="C42" s="213" t="s">
        <v>374</v>
      </c>
      <c r="D42" s="202">
        <f>IF($C$5="Promedio meses cargados",'Gastos 2026'!I24/$C$6,INDEX('Gastos 2026'!$C24:$H24,MATCH($C$5,'Gastos 2026'!$C$4:$H$4,0)))</f>
        <v>56666.666666666664</v>
      </c>
      <c r="E42" s="214">
        <v>0</v>
      </c>
      <c r="F42" s="202">
        <f t="shared" si="0"/>
        <v>56666.666666666664</v>
      </c>
      <c r="G42" s="202">
        <f t="shared" si="1"/>
        <v>0</v>
      </c>
      <c r="H42" s="202">
        <f t="shared" si="2"/>
        <v>0</v>
      </c>
      <c r="I42" s="215" t="str">
        <f t="shared" si="3"/>
        <v/>
      </c>
      <c r="J42" s="216" t="str">
        <f t="shared" si="4"/>
        <v/>
      </c>
      <c r="K42" s="233" t="str">
        <f t="shared" si="5"/>
        <v/>
      </c>
      <c r="L42" s="235" t="s">
        <v>69</v>
      </c>
    </row>
    <row r="43" spans="2:12" x14ac:dyDescent="0.25">
      <c r="B43" s="178" t="str">
        <f>'Gastos 2026'!B25</f>
        <v>Rescates FCI</v>
      </c>
      <c r="C43" s="213" t="s">
        <v>375</v>
      </c>
      <c r="D43" s="202">
        <f>IF($C$5="Promedio meses cargados",'Gastos 2026'!I25/$C$6,INDEX('Gastos 2026'!$C25:$H25,MATCH($C$5,'Gastos 2026'!$C$4:$H$4,0)))</f>
        <v>0</v>
      </c>
      <c r="E43" s="214">
        <v>0</v>
      </c>
      <c r="F43" s="202">
        <f t="shared" si="0"/>
        <v>0</v>
      </c>
      <c r="G43" s="202">
        <f t="shared" si="1"/>
        <v>0</v>
      </c>
      <c r="H43" s="202">
        <f t="shared" si="2"/>
        <v>0</v>
      </c>
      <c r="I43" s="215" t="str">
        <f t="shared" si="3"/>
        <v/>
      </c>
      <c r="J43" s="216" t="str">
        <f t="shared" si="4"/>
        <v/>
      </c>
      <c r="K43" s="233" t="str">
        <f t="shared" si="5"/>
        <v/>
      </c>
      <c r="L43" s="235" t="s">
        <v>375</v>
      </c>
    </row>
    <row r="44" spans="2:12" x14ac:dyDescent="0.25">
      <c r="B44" s="178" t="str">
        <f>'Gastos 2026'!B26</f>
        <v>Inversiones FCI</v>
      </c>
      <c r="C44" s="213" t="s">
        <v>375</v>
      </c>
      <c r="D44" s="202">
        <f>IF($C$5="Promedio meses cargados",'Gastos 2026'!I26/$C$6,INDEX('Gastos 2026'!$C26:$H26,MATCH($C$5,'Gastos 2026'!$C$4:$H$4,0)))</f>
        <v>0</v>
      </c>
      <c r="E44" s="214">
        <v>0</v>
      </c>
      <c r="F44" s="202">
        <f t="shared" si="0"/>
        <v>0</v>
      </c>
      <c r="G44" s="202">
        <f t="shared" si="1"/>
        <v>0</v>
      </c>
      <c r="H44" s="202">
        <f t="shared" si="2"/>
        <v>0</v>
      </c>
      <c r="I44" s="215" t="str">
        <f t="shared" si="3"/>
        <v/>
      </c>
      <c r="J44" s="216" t="str">
        <f t="shared" si="4"/>
        <v/>
      </c>
      <c r="K44" s="233" t="str">
        <f t="shared" si="5"/>
        <v/>
      </c>
      <c r="L44" s="235" t="s">
        <v>375</v>
      </c>
    </row>
    <row r="45" spans="2:12" x14ac:dyDescent="0.25">
      <c r="B45" s="178" t="str">
        <f>'Gastos 2026'!B27</f>
        <v>Ahorros/inversiones</v>
      </c>
      <c r="C45" s="213" t="s">
        <v>375</v>
      </c>
      <c r="D45" s="202">
        <f>IF($C$5="Promedio meses cargados",'Gastos 2026'!I27/$C$6,INDEX('Gastos 2026'!$C27:$H27,MATCH($C$5,'Gastos 2026'!$C$4:$H$4,0)))</f>
        <v>0</v>
      </c>
      <c r="E45" s="214">
        <v>0</v>
      </c>
      <c r="F45" s="202">
        <f t="shared" si="0"/>
        <v>0</v>
      </c>
      <c r="G45" s="202">
        <f t="shared" si="1"/>
        <v>0</v>
      </c>
      <c r="H45" s="202">
        <f t="shared" si="2"/>
        <v>0</v>
      </c>
      <c r="I45" s="215" t="str">
        <f t="shared" si="3"/>
        <v/>
      </c>
      <c r="J45" s="216" t="str">
        <f t="shared" si="4"/>
        <v/>
      </c>
      <c r="K45" s="233" t="str">
        <f t="shared" si="5"/>
        <v/>
      </c>
      <c r="L45" s="235" t="s">
        <v>375</v>
      </c>
    </row>
    <row r="46" spans="2:12" x14ac:dyDescent="0.25">
      <c r="B46" s="178" t="str">
        <f>'Gastos 2026'!B28</f>
        <v>Pago tarjetas de crédito</v>
      </c>
      <c r="C46" s="213" t="s">
        <v>376</v>
      </c>
      <c r="D46" s="202">
        <f>IF($C$5="Promedio meses cargados",'Gastos 2026'!I28/$C$6,INDEX('Gastos 2026'!$C28:$H28,MATCH($C$5,'Gastos 2026'!$C$4:$H$4,0)))</f>
        <v>-446321.60333333333</v>
      </c>
      <c r="E46" s="214">
        <v>0</v>
      </c>
      <c r="F46" s="202">
        <f t="shared" si="0"/>
        <v>-446321.60333333333</v>
      </c>
      <c r="G46" s="202">
        <f t="shared" si="1"/>
        <v>0</v>
      </c>
      <c r="H46" s="202">
        <f t="shared" si="2"/>
        <v>0</v>
      </c>
      <c r="I46" s="215" t="str">
        <f t="shared" si="3"/>
        <v/>
      </c>
      <c r="J46" s="216" t="str">
        <f t="shared" si="4"/>
        <v/>
      </c>
      <c r="K46" s="233" t="str">
        <f t="shared" si="5"/>
        <v/>
      </c>
      <c r="L46" s="235" t="s">
        <v>376</v>
      </c>
    </row>
    <row r="47" spans="2:12" x14ac:dyDescent="0.25">
      <c r="B47" s="178" t="str">
        <f>'Gastos 2026'!B29</f>
        <v>Pago monotributo</v>
      </c>
      <c r="C47" s="213" t="s">
        <v>373</v>
      </c>
      <c r="D47" s="202">
        <f>IF($C$5="Promedio meses cargados",'Gastos 2026'!I29/$C$6,INDEX('Gastos 2026'!$C29:$H29,MATCH($C$5,'Gastos 2026'!$C$4:$H$4,0)))</f>
        <v>-51714.966666666674</v>
      </c>
      <c r="E47" s="214">
        <v>0</v>
      </c>
      <c r="F47" s="202">
        <f t="shared" si="0"/>
        <v>-51714.966666666674</v>
      </c>
      <c r="G47" s="202">
        <f t="shared" si="1"/>
        <v>0</v>
      </c>
      <c r="H47" s="202">
        <f t="shared" si="2"/>
        <v>0</v>
      </c>
      <c r="I47" s="215">
        <f t="shared" si="3"/>
        <v>6.6149016577377637E-2</v>
      </c>
      <c r="J47" s="216">
        <f t="shared" si="4"/>
        <v>9</v>
      </c>
      <c r="K47" s="233">
        <f t="shared" si="5"/>
        <v>51714.966666666674</v>
      </c>
      <c r="L47" s="235" t="s">
        <v>406</v>
      </c>
    </row>
    <row r="48" spans="2:12" x14ac:dyDescent="0.25">
      <c r="B48" s="178" t="str">
        <f>'Gastos 2026'!B30</f>
        <v>Telas e insumos p costura</v>
      </c>
      <c r="C48" s="213" t="s">
        <v>373</v>
      </c>
      <c r="D48" s="202">
        <f>IF($C$5="Promedio meses cargados",'Gastos 2026'!I30/$C$6,INDEX('Gastos 2026'!$C30:$H30,MATCH($C$5,'Gastos 2026'!$C$4:$H$4,0)))</f>
        <v>-11793.333333333334</v>
      </c>
      <c r="E48" s="214">
        <v>0</v>
      </c>
      <c r="F48" s="202">
        <f t="shared" si="0"/>
        <v>-11793.333333333334</v>
      </c>
      <c r="G48" s="202">
        <f t="shared" si="1"/>
        <v>0</v>
      </c>
      <c r="H48" s="202">
        <f t="shared" si="2"/>
        <v>0</v>
      </c>
      <c r="I48" s="215">
        <f t="shared" si="3"/>
        <v>1.5084944503542305E-2</v>
      </c>
      <c r="J48" s="216">
        <f t="shared" si="4"/>
        <v>12</v>
      </c>
      <c r="K48" s="233">
        <f t="shared" si="5"/>
        <v>11793.333333333334</v>
      </c>
      <c r="L48" s="235" t="s">
        <v>404</v>
      </c>
    </row>
    <row r="49" spans="2:12" ht="15.75" thickBot="1" x14ac:dyDescent="0.3">
      <c r="B49" s="178" t="str">
        <f>'Gastos 2026'!B31</f>
        <v>Transferencias Jo</v>
      </c>
      <c r="C49" s="213" t="s">
        <v>376</v>
      </c>
      <c r="D49" s="202">
        <f>IF($C$5="Promedio meses cargados",'Gastos 2026'!I31/$C$6,INDEX('Gastos 2026'!$C31:$H31,MATCH($C$5,'Gastos 2026'!$C$4:$H$4,0)))</f>
        <v>-10000</v>
      </c>
      <c r="E49" s="214">
        <v>0</v>
      </c>
      <c r="F49" s="202">
        <f t="shared" si="0"/>
        <v>-10000</v>
      </c>
      <c r="G49" s="202">
        <f t="shared" si="1"/>
        <v>0</v>
      </c>
      <c r="H49" s="202">
        <f t="shared" si="2"/>
        <v>0</v>
      </c>
      <c r="I49" s="215" t="str">
        <f t="shared" si="3"/>
        <v/>
      </c>
      <c r="J49" s="216" t="str">
        <f t="shared" si="4"/>
        <v/>
      </c>
      <c r="K49" s="233" t="str">
        <f t="shared" si="5"/>
        <v/>
      </c>
      <c r="L49" s="236" t="s">
        <v>376</v>
      </c>
    </row>
    <row r="50" spans="2:12" ht="15.75" thickBot="1" x14ac:dyDescent="0.3">
      <c r="B50" s="180" t="s">
        <v>82</v>
      </c>
      <c r="C50" s="217"/>
      <c r="D50" s="181">
        <f>SUM(D23:D49)</f>
        <v>520882.83333333302</v>
      </c>
      <c r="E50" s="217"/>
      <c r="F50" s="181">
        <f>SUM(F23:F49)</f>
        <v>520882.83333333302</v>
      </c>
      <c r="G50" s="181">
        <f>SUM(G23:G49)</f>
        <v>0</v>
      </c>
      <c r="H50" s="181">
        <f>SUM(H23:H49)</f>
        <v>0</v>
      </c>
      <c r="I50" s="217"/>
      <c r="J50" s="217"/>
      <c r="K50" s="218"/>
    </row>
    <row r="53" spans="2:12" ht="15.75" thickBot="1" x14ac:dyDescent="0.3">
      <c r="B53" s="254" t="s">
        <v>388</v>
      </c>
      <c r="C53" s="254"/>
      <c r="D53" s="254"/>
      <c r="E53" s="254"/>
      <c r="F53" s="254"/>
      <c r="G53" s="254"/>
      <c r="H53" s="254"/>
    </row>
    <row r="54" spans="2:12" x14ac:dyDescent="0.25">
      <c r="B54" s="175" t="s">
        <v>378</v>
      </c>
      <c r="C54" s="176" t="str">
        <f>'Gastos 2026'!C4</f>
        <v>julio</v>
      </c>
      <c r="D54" s="176" t="str">
        <f>'Gastos 2026'!D4</f>
        <v>agosto</v>
      </c>
      <c r="E54" s="176" t="str">
        <f>'Gastos 2026'!E4</f>
        <v>septiembre</v>
      </c>
      <c r="F54" s="176" t="str">
        <f>'Gastos 2026'!F4</f>
        <v>octubre</v>
      </c>
      <c r="G54" s="176" t="str">
        <f>'Gastos 2026'!G4</f>
        <v>noviembre</v>
      </c>
      <c r="H54" s="177" t="str">
        <f>'Gastos 2026'!H4</f>
        <v>diciembre</v>
      </c>
    </row>
    <row r="55" spans="2:12" x14ac:dyDescent="0.25">
      <c r="B55" s="201" t="s">
        <v>382</v>
      </c>
      <c r="C55" s="202">
        <f>SUMIF($C$23:$C$49,"Ingreso",'Gastos 2026'!C$5:C$31)</f>
        <v>2388047</v>
      </c>
      <c r="D55" s="202">
        <f>SUMIF($C$23:$C$49,"Ingreso",'Gastos 2026'!D$5:D$31)</f>
        <v>2687951.1399999997</v>
      </c>
      <c r="E55" s="202">
        <f>SUMIF($C$23:$C$49,"Ingreso",'Gastos 2026'!E$5:E$31)</f>
        <v>201000</v>
      </c>
      <c r="F55" s="202">
        <f>SUMIF($C$23:$C$49,"Ingreso",'Gastos 2026'!F$5:F$31)</f>
        <v>0</v>
      </c>
      <c r="G55" s="202">
        <f>SUMIF($C$23:$C$49,"Ingreso",'Gastos 2026'!G$5:G$31)</f>
        <v>0</v>
      </c>
      <c r="H55" s="203">
        <f>SUMIF($C$23:$C$49,"Ingreso",'Gastos 2026'!H$5:H$31)</f>
        <v>0</v>
      </c>
    </row>
    <row r="56" spans="2:12" x14ac:dyDescent="0.25">
      <c r="B56" s="201" t="s">
        <v>383</v>
      </c>
      <c r="C56" s="202">
        <f>-SUMIF($C$23:$C$49,"Gasto",'Gastos 2026'!C$5:C$31)</f>
        <v>633116.82999999996</v>
      </c>
      <c r="D56" s="202">
        <f>-SUMIF($C$23:$C$49,"Gasto",'Gastos 2026'!D$5:D$31)</f>
        <v>787574.4</v>
      </c>
      <c r="E56" s="202">
        <f>-SUMIF($C$23:$C$49,"Gasto",'Gastos 2026'!E$5:E$31)</f>
        <v>924693.6</v>
      </c>
      <c r="F56" s="202">
        <f>-SUMIF($C$23:$C$49,"Gasto",'Gastos 2026'!F$5:F$31)</f>
        <v>0</v>
      </c>
      <c r="G56" s="202">
        <f>-SUMIF($C$23:$C$49,"Gasto",'Gastos 2026'!G$5:G$31)</f>
        <v>0</v>
      </c>
      <c r="H56" s="203">
        <f>-SUMIF($C$23:$C$49,"Gasto",'Gastos 2026'!H$5:H$31)</f>
        <v>0</v>
      </c>
    </row>
    <row r="57" spans="2:12" x14ac:dyDescent="0.25">
      <c r="B57" s="201" t="s">
        <v>389</v>
      </c>
      <c r="C57" s="204">
        <f>C55-C56</f>
        <v>1754930.17</v>
      </c>
      <c r="D57" s="204">
        <f t="shared" ref="D57:H57" si="6">D55-D56</f>
        <v>1900376.7399999998</v>
      </c>
      <c r="E57" s="204">
        <f t="shared" si="6"/>
        <v>-723693.6</v>
      </c>
      <c r="F57" s="204">
        <f t="shared" si="6"/>
        <v>0</v>
      </c>
      <c r="G57" s="204">
        <f t="shared" si="6"/>
        <v>0</v>
      </c>
      <c r="H57" s="179">
        <f t="shared" si="6"/>
        <v>0</v>
      </c>
    </row>
    <row r="58" spans="2:12" x14ac:dyDescent="0.25">
      <c r="B58" s="201" t="s">
        <v>396</v>
      </c>
      <c r="C58" s="202">
        <f>-(SUMIF('Gastos julio'!$F$24:$F$173,"Inversiones FCI",'Gastos julio'!$D$24:$D$173)+SUMIF('Gastos julio'!$F$24:$F$173,"Ahorros/inversiones",'Gastos julio'!$D$24:$D$173))</f>
        <v>1200000</v>
      </c>
      <c r="D58" s="202">
        <f>-(SUMIF('Gastos agosto'!$F$24:$F$173,"Inversiones FCI",'Gastos agosto'!$D$24:$D$173)+SUMIF('Gastos agosto'!$F$24:$F$173,"Ahorros/inversiones",'Gastos agosto'!$D$24:$D$173))</f>
        <v>2300000</v>
      </c>
      <c r="E58" s="202">
        <f>-(SUMIF('Gastos septiembre'!$F$24:$F$173,"Inversiones FCI",'Gastos septiembre'!$D$24:$D$173)+SUMIF('Gastos septiembre'!$F$24:$F$173,"Ahorros/inversiones",'Gastos septiembre'!$D$24:$D$173))</f>
        <v>2000000</v>
      </c>
      <c r="F58" s="202">
        <f>-(SUMIF('Gastos octubre'!$F$24:$F$173,"Inversiones FCI",'Gastos octubre'!$D$24:$D$173)+SUMIF('Gastos octubre'!$F$24:$F$173,"Ahorros/inversiones",'Gastos octubre'!$D$24:$D$173))</f>
        <v>0</v>
      </c>
      <c r="G58" s="202">
        <f>-(SUMIF('Gastos noviembre'!$F$24:$F$173,"Inversiones FCI",'Gastos noviembre'!$D$24:$D$173)+SUMIF('Gastos noviembre'!$F$24:$F$173,"Ahorros/inversiones",'Gastos noviembre'!$D$24:$D$173))</f>
        <v>0</v>
      </c>
      <c r="H58" s="203">
        <f>-(SUMIF('Gastos diciembre'!$F$24:$F$173,"Inversiones FCI",'Gastos diciembre'!$D$24:$D$173)+SUMIF('Gastos diciembre'!$F$24:$F$173,"Ahorros/inversiones",'Gastos diciembre'!$D$24:$D$173))</f>
        <v>0</v>
      </c>
    </row>
    <row r="59" spans="2:12" ht="15.75" thickBot="1" x14ac:dyDescent="0.3">
      <c r="B59" s="209" t="s">
        <v>390</v>
      </c>
      <c r="C59" s="225">
        <f>IFERROR(IF(C55=0,"",C57/C55),"")</f>
        <v>0.73488091733537908</v>
      </c>
      <c r="D59" s="225">
        <f t="shared" ref="D59:H59" si="7">IFERROR(IF(D55=0,"",D57/D55),"")</f>
        <v>0.70699824551126322</v>
      </c>
      <c r="E59" s="225">
        <f t="shared" si="7"/>
        <v>-3.6004656716417909</v>
      </c>
      <c r="F59" s="225" t="str">
        <f t="shared" si="7"/>
        <v/>
      </c>
      <c r="G59" s="225" t="str">
        <f t="shared" si="7"/>
        <v/>
      </c>
      <c r="H59" s="226" t="str">
        <f t="shared" si="7"/>
        <v/>
      </c>
    </row>
    <row r="62" spans="2:12" x14ac:dyDescent="0.25">
      <c r="B62" s="254" t="s">
        <v>391</v>
      </c>
      <c r="C62" s="254"/>
      <c r="D62" s="254"/>
      <c r="E62" s="254"/>
      <c r="F62" s="254"/>
      <c r="G62" s="254"/>
    </row>
    <row r="63" spans="2:12" x14ac:dyDescent="0.25">
      <c r="B63" s="154" t="s">
        <v>392</v>
      </c>
      <c r="C63" s="200">
        <f>SUMIF($C$23:$C$49,"Gasto",$F$23:$F$49)+$C$8*$C$14</f>
        <v>-781794.94333333336</v>
      </c>
    </row>
    <row r="64" spans="2:12" ht="15.75" thickBot="1" x14ac:dyDescent="0.3"/>
    <row r="65" spans="2:7" x14ac:dyDescent="0.25">
      <c r="B65" s="219" t="s">
        <v>393</v>
      </c>
      <c r="C65" s="220">
        <f>$C$7-0.1</f>
        <v>-0.1</v>
      </c>
      <c r="D65" s="220">
        <f>$C$7-0.05</f>
        <v>-0.05</v>
      </c>
      <c r="E65" s="220">
        <f>$C$7</f>
        <v>0</v>
      </c>
      <c r="F65" s="220">
        <f>$C$7+0.05</f>
        <v>0.05</v>
      </c>
      <c r="G65" s="221">
        <f>$C$7+0.1</f>
        <v>0.1</v>
      </c>
    </row>
    <row r="66" spans="2:7" x14ac:dyDescent="0.25">
      <c r="B66" s="222">
        <f>$C$8-0.1</f>
        <v>-0.1</v>
      </c>
      <c r="C66" s="215">
        <f>IFERROR(($C$13*(1+C$65)+($C$63-$B66*$C$14))/($C$13*(1+C$65)),"")</f>
        <v>0.45677800468413871</v>
      </c>
      <c r="D66" s="215">
        <f t="shared" ref="D66:G70" si="8">IFERROR(($C$13*(1+D$65)+($C$63-$B66*$C$14))/($C$13*(1+D$65)),"")</f>
        <v>0.48536863601655239</v>
      </c>
      <c r="E66" s="215">
        <f t="shared" si="8"/>
        <v>0.51110020421572477</v>
      </c>
      <c r="F66" s="215">
        <f t="shared" si="8"/>
        <v>0.5343811468721188</v>
      </c>
      <c r="G66" s="223">
        <f t="shared" si="8"/>
        <v>0.55554564019611341</v>
      </c>
    </row>
    <row r="67" spans="2:7" x14ac:dyDescent="0.25">
      <c r="B67" s="222">
        <f>$C$8-0.05</f>
        <v>-0.05</v>
      </c>
      <c r="C67" s="215">
        <f t="shared" ref="C67:C70" si="9">IFERROR(($C$13*(1+C$65)+($C$63-$B67*$C$14))/($C$13*(1+C$65)),"")</f>
        <v>0.48146991356213237</v>
      </c>
      <c r="D67" s="215">
        <f t="shared" si="8"/>
        <v>0.50876097074307269</v>
      </c>
      <c r="E67" s="215">
        <f t="shared" si="8"/>
        <v>0.53332292220591915</v>
      </c>
      <c r="F67" s="215">
        <f t="shared" si="8"/>
        <v>0.55554564019611341</v>
      </c>
      <c r="G67" s="223">
        <f t="shared" si="8"/>
        <v>0.57574811109629009</v>
      </c>
    </row>
    <row r="68" spans="2:7" x14ac:dyDescent="0.25">
      <c r="B68" s="222">
        <f>$C$8</f>
        <v>0</v>
      </c>
      <c r="C68" s="215">
        <f t="shared" si="9"/>
        <v>0.50616182244012609</v>
      </c>
      <c r="D68" s="215">
        <f t="shared" si="8"/>
        <v>0.53215330546959305</v>
      </c>
      <c r="E68" s="231">
        <f t="shared" si="8"/>
        <v>0.55554564019611341</v>
      </c>
      <c r="F68" s="215">
        <f t="shared" si="8"/>
        <v>0.57671013352010803</v>
      </c>
      <c r="G68" s="223">
        <f t="shared" si="8"/>
        <v>0.59595058199646678</v>
      </c>
    </row>
    <row r="69" spans="2:7" x14ac:dyDescent="0.25">
      <c r="B69" s="222">
        <f>$C$8+0.05</f>
        <v>0.05</v>
      </c>
      <c r="C69" s="215">
        <f t="shared" si="9"/>
        <v>0.53085373131811975</v>
      </c>
      <c r="D69" s="215">
        <f t="shared" si="8"/>
        <v>0.55554564019611341</v>
      </c>
      <c r="E69" s="215">
        <f t="shared" si="8"/>
        <v>0.57776835818630778</v>
      </c>
      <c r="F69" s="215">
        <f t="shared" si="8"/>
        <v>0.59787462684410264</v>
      </c>
      <c r="G69" s="223">
        <f t="shared" si="8"/>
        <v>0.61615305289664346</v>
      </c>
    </row>
    <row r="70" spans="2:7" ht="15.75" thickBot="1" x14ac:dyDescent="0.3">
      <c r="B70" s="224">
        <f>$C$8+0.1</f>
        <v>0.1</v>
      </c>
      <c r="C70" s="225">
        <f t="shared" si="9"/>
        <v>0.55554564019611341</v>
      </c>
      <c r="D70" s="225">
        <f t="shared" si="8"/>
        <v>0.57893797492263377</v>
      </c>
      <c r="E70" s="225">
        <f t="shared" si="8"/>
        <v>0.59999107617650205</v>
      </c>
      <c r="F70" s="225">
        <f t="shared" si="8"/>
        <v>0.61903912016809726</v>
      </c>
      <c r="G70" s="226">
        <f t="shared" si="8"/>
        <v>0.63635552379682014</v>
      </c>
    </row>
    <row r="72" spans="2:7" ht="15.75" thickBot="1" x14ac:dyDescent="0.3">
      <c r="B72" s="254" t="s">
        <v>394</v>
      </c>
      <c r="C72" s="254"/>
    </row>
    <row r="73" spans="2:7" x14ac:dyDescent="0.25">
      <c r="B73" s="175" t="s">
        <v>123</v>
      </c>
      <c r="C73" s="177" t="s">
        <v>395</v>
      </c>
    </row>
    <row r="74" spans="2:7" x14ac:dyDescent="0.25">
      <c r="B74" s="227" t="str">
        <f>IFERROR(INDEX($B$23:$B$49,MATCH(LARGE($K$23:$K$49,ROWS($B$74:B74)),$K$23:$K$49,0)),"")</f>
        <v>Salidas a cenar/almorzar</v>
      </c>
      <c r="C74" s="203">
        <f>IFERROR(LARGE($K$23:$K$49,ROWS($C$74:C74)),"")</f>
        <v>144786.91333333333</v>
      </c>
    </row>
    <row r="75" spans="2:7" x14ac:dyDescent="0.25">
      <c r="B75" s="227" t="str">
        <f>IFERROR(INDEX($B$23:$B$49,MATCH(LARGE($K$23:$K$49,ROWS($B$74:B75)),$K$23:$K$49,0)),"")</f>
        <v>Juntadas a cenar/almorzar</v>
      </c>
      <c r="C75" s="203">
        <f>IFERROR(LARGE($K$23:$K$49,ROWS($C$74:C75)),"")</f>
        <v>95250.156666666662</v>
      </c>
    </row>
    <row r="76" spans="2:7" x14ac:dyDescent="0.25">
      <c r="B76" s="227" t="str">
        <f>IFERROR(INDEX($B$23:$B$49,MATCH(LARGE($K$23:$K$49,ROWS($B$74:B76)),$K$23:$K$49,0)),"")</f>
        <v>Auto</v>
      </c>
      <c r="C76" s="203">
        <f>IFERROR(LARGE($K$23:$K$49,ROWS($C$74:C76)),"")</f>
        <v>85866.666666666672</v>
      </c>
    </row>
    <row r="77" spans="2:7" x14ac:dyDescent="0.25">
      <c r="B77" s="227" t="str">
        <f>IFERROR(INDEX($B$23:$B$49,MATCH(LARGE($K$23:$K$49,ROWS($B$74:B77)),$K$23:$K$49,0)),"")</f>
        <v>Entradas fiestas/conciertos/otros eventos</v>
      </c>
      <c r="C77" s="203">
        <f>IFERROR(LARGE($K$23:$K$49,ROWS($C$74:C77)),"")</f>
        <v>78030</v>
      </c>
    </row>
    <row r="78" spans="2:7" x14ac:dyDescent="0.25">
      <c r="B78" s="227" t="str">
        <f>IFERROR(INDEX($B$23:$B$49,MATCH(LARGE($K$23:$K$49,ROWS($B$74:B78)),$K$23:$K$49,0)),"")</f>
        <v>Gimnasio</v>
      </c>
      <c r="C78" s="203">
        <f>IFERROR(LARGE($K$23:$K$49,ROWS($C$74:C78)),"")</f>
        <v>75333.333333333328</v>
      </c>
    </row>
    <row r="79" spans="2:7" x14ac:dyDescent="0.25">
      <c r="B79" s="227" t="str">
        <f>IFERROR(INDEX($B$23:$B$49,MATCH(LARGE($K$23:$K$49,ROWS($B$74:B79)),$K$23:$K$49,0)),"")</f>
        <v>Psicóloga</v>
      </c>
      <c r="C79" s="203">
        <f>IFERROR(LARGE($K$23:$K$49,ROWS($C$74:C79)),"")</f>
        <v>68274.666666666672</v>
      </c>
    </row>
    <row r="80" spans="2:7" x14ac:dyDescent="0.25">
      <c r="B80" s="227" t="str">
        <f>IFERROR(INDEX($B$23:$B$49,MATCH(LARGE($K$23:$K$49,ROWS($B$74:B80)),$K$23:$K$49,0)),"")</f>
        <v>Salidas a desyunar/merendar</v>
      </c>
      <c r="C80" s="203">
        <f>IFERROR(LARGE($K$23:$K$49,ROWS($C$74:C80)),"")</f>
        <v>63766.666666666664</v>
      </c>
    </row>
    <row r="81" spans="2:4" x14ac:dyDescent="0.25">
      <c r="B81" s="227" t="str">
        <f>IFERROR(INDEX($B$23:$B$49,MATCH(LARGE($K$23:$K$49,ROWS($B$74:B81)),$K$23:$K$49,0)),"")</f>
        <v>Salidas a tomar algo</v>
      </c>
      <c r="C81" s="203">
        <f>IFERROR(LARGE($K$23:$K$49,ROWS($C$74:C81)),"")</f>
        <v>60076.666666666664</v>
      </c>
    </row>
    <row r="82" spans="2:4" x14ac:dyDescent="0.25">
      <c r="B82" s="227" t="str">
        <f>IFERROR(INDEX($B$23:$B$49,MATCH(LARGE($K$23:$K$49,ROWS($B$74:B82)),$K$23:$K$49,0)),"")</f>
        <v>Pago monotributo</v>
      </c>
      <c r="C82" s="203">
        <f>IFERROR(LARGE($K$23:$K$49,ROWS($C$74:C82)),"")</f>
        <v>51714.966666666674</v>
      </c>
    </row>
    <row r="83" spans="2:4" ht="15.75" thickBot="1" x14ac:dyDescent="0.3">
      <c r="B83" s="228" t="str">
        <f>IFERROR(INDEX($B$23:$B$49,MATCH(LARGE($K$23:$K$49,ROWS($B$74:B83)),$K$23:$K$49,0)),"")</f>
        <v>Delivery</v>
      </c>
      <c r="C83" s="211">
        <f>IFERROR(LARGE($K$23:$K$49,ROWS($C$74:C83)),"")</f>
        <v>29852.533333333336</v>
      </c>
    </row>
    <row r="85" spans="2:4" outlineLevel="1" x14ac:dyDescent="0.25">
      <c r="B85" s="238" t="s">
        <v>416</v>
      </c>
    </row>
    <row r="86" spans="2:4" outlineLevel="1" x14ac:dyDescent="0.25">
      <c r="B86" s="174" t="s">
        <v>407</v>
      </c>
    </row>
    <row r="87" spans="2:4" outlineLevel="1" x14ac:dyDescent="0.25"/>
    <row r="88" spans="2:4" outlineLevel="1" x14ac:dyDescent="0.25">
      <c r="B88" s="173" t="s">
        <v>398</v>
      </c>
      <c r="C88" s="173" t="s">
        <v>408</v>
      </c>
      <c r="D88" s="173" t="s">
        <v>409</v>
      </c>
    </row>
    <row r="89" spans="2:4" outlineLevel="1" x14ac:dyDescent="0.25">
      <c r="B89" t="s">
        <v>400</v>
      </c>
      <c r="C89" s="198">
        <f>-SUMIFS($D$23:$D$49,$L$23:$L$49,$B89,$C$23:$C$49,"Gasto")</f>
        <v>393732.9366666667</v>
      </c>
      <c r="D89" s="198">
        <f>-SUMIFS($F$23:$F$49,$L$23:$L$49,$B89,$C$23:$C$49,"Gasto")</f>
        <v>393732.9366666667</v>
      </c>
    </row>
    <row r="90" spans="2:4" outlineLevel="1" x14ac:dyDescent="0.25">
      <c r="B90" t="s">
        <v>405</v>
      </c>
      <c r="C90" s="198">
        <f t="shared" ref="C90:C96" si="10">-SUMIFS($D$23:$D$49,$L$23:$L$49,$B90,$C$23:$C$49,"Gasto")</f>
        <v>11349.333333333334</v>
      </c>
      <c r="D90" s="198">
        <f t="shared" ref="D90:D96" si="11">-SUMIFS($F$23:$F$49,$L$23:$L$49,$B90,$C$23:$C$49,"Gasto")</f>
        <v>11349.333333333334</v>
      </c>
    </row>
    <row r="91" spans="2:4" outlineLevel="1" x14ac:dyDescent="0.25">
      <c r="B91" t="s">
        <v>402</v>
      </c>
      <c r="C91" s="198">
        <f t="shared" si="10"/>
        <v>85866.666666666672</v>
      </c>
      <c r="D91" s="198">
        <f t="shared" si="11"/>
        <v>85866.666666666672</v>
      </c>
    </row>
    <row r="92" spans="2:4" outlineLevel="1" x14ac:dyDescent="0.25">
      <c r="B92" t="s">
        <v>403</v>
      </c>
      <c r="C92" s="198">
        <f t="shared" si="10"/>
        <v>164307.70666666667</v>
      </c>
      <c r="D92" s="198">
        <f t="shared" si="11"/>
        <v>164307.70666666667</v>
      </c>
    </row>
    <row r="93" spans="2:4" outlineLevel="1" x14ac:dyDescent="0.25">
      <c r="B93" t="s">
        <v>399</v>
      </c>
      <c r="C93" s="198">
        <f t="shared" si="10"/>
        <v>-23050</v>
      </c>
      <c r="D93" s="198">
        <f t="shared" si="11"/>
        <v>-23050</v>
      </c>
    </row>
    <row r="94" spans="2:4" outlineLevel="1" x14ac:dyDescent="0.25">
      <c r="B94" t="s">
        <v>404</v>
      </c>
      <c r="C94" s="198">
        <f t="shared" si="10"/>
        <v>11793.333333333334</v>
      </c>
      <c r="D94" s="198">
        <f t="shared" si="11"/>
        <v>11793.333333333334</v>
      </c>
    </row>
    <row r="95" spans="2:4" outlineLevel="1" x14ac:dyDescent="0.25">
      <c r="B95" t="s">
        <v>401</v>
      </c>
      <c r="C95" s="198">
        <f t="shared" si="10"/>
        <v>86080</v>
      </c>
      <c r="D95" s="198">
        <f t="shared" si="11"/>
        <v>86080</v>
      </c>
    </row>
    <row r="96" spans="2:4" outlineLevel="1" x14ac:dyDescent="0.25">
      <c r="B96" t="s">
        <v>406</v>
      </c>
      <c r="C96" s="198">
        <f t="shared" si="10"/>
        <v>51714.966666666674</v>
      </c>
      <c r="D96" s="198">
        <f t="shared" si="11"/>
        <v>51714.966666666674</v>
      </c>
    </row>
    <row r="97" spans="2:8" outlineLevel="1" x14ac:dyDescent="0.25"/>
    <row r="98" spans="2:8" outlineLevel="1" x14ac:dyDescent="0.25">
      <c r="B98" s="173" t="s">
        <v>378</v>
      </c>
      <c r="C98" s="237" t="str">
        <f t="shared" ref="C98:H98" si="12">C$54</f>
        <v>julio</v>
      </c>
      <c r="D98" s="237" t="str">
        <f t="shared" si="12"/>
        <v>agosto</v>
      </c>
      <c r="E98" s="13" t="str">
        <f t="shared" si="12"/>
        <v>septiembre</v>
      </c>
      <c r="F98" s="13" t="str">
        <f t="shared" si="12"/>
        <v>octubre</v>
      </c>
      <c r="G98" s="13" t="str">
        <f t="shared" si="12"/>
        <v>noviembre</v>
      </c>
      <c r="H98" s="13" t="str">
        <f t="shared" si="12"/>
        <v>diciembre</v>
      </c>
    </row>
    <row r="99" spans="2:8" outlineLevel="1" x14ac:dyDescent="0.25">
      <c r="B99" t="s">
        <v>390</v>
      </c>
      <c r="C99" s="199">
        <f t="shared" ref="C99:H99" si="13">IF(C$55=0,NA(),C$59)</f>
        <v>0.73488091733537908</v>
      </c>
      <c r="D99" s="199">
        <f t="shared" si="13"/>
        <v>0.70699824551126322</v>
      </c>
      <c r="E99" s="199">
        <f t="shared" si="13"/>
        <v>-3.6004656716417909</v>
      </c>
      <c r="F99" s="199" t="e">
        <f t="shared" si="13"/>
        <v>#N/A</v>
      </c>
      <c r="G99" s="199" t="e">
        <f t="shared" si="13"/>
        <v>#N/A</v>
      </c>
      <c r="H99" s="199" t="e">
        <f t="shared" si="13"/>
        <v>#N/A</v>
      </c>
    </row>
    <row r="100" spans="2:8" outlineLevel="1" x14ac:dyDescent="0.25"/>
    <row r="101" spans="2:8" outlineLevel="1" x14ac:dyDescent="0.25">
      <c r="B101" s="173" t="s">
        <v>410</v>
      </c>
      <c r="C101" s="173" t="s">
        <v>79</v>
      </c>
    </row>
    <row r="102" spans="2:8" outlineLevel="1" x14ac:dyDescent="0.25">
      <c r="B102" t="s">
        <v>70</v>
      </c>
      <c r="C102" s="198">
        <f>$C$13</f>
        <v>1758999.38</v>
      </c>
    </row>
    <row r="103" spans="2:8" outlineLevel="1" x14ac:dyDescent="0.25">
      <c r="B103" t="str">
        <f>$B89</f>
        <v>Comidas y salidas</v>
      </c>
      <c r="C103" s="198">
        <f>-$C89</f>
        <v>-393732.9366666667</v>
      </c>
    </row>
    <row r="104" spans="2:8" outlineLevel="1" x14ac:dyDescent="0.25">
      <c r="B104" t="str">
        <f t="shared" ref="B104:B110" si="14">$B90</f>
        <v>Hogar y súper</v>
      </c>
      <c r="C104" s="198">
        <f t="shared" ref="C104:C110" si="15">-$C90</f>
        <v>-11349.333333333334</v>
      </c>
    </row>
    <row r="105" spans="2:8" outlineLevel="1" x14ac:dyDescent="0.25">
      <c r="B105" t="str">
        <f t="shared" si="14"/>
        <v>Transporte</v>
      </c>
      <c r="C105" s="198">
        <f t="shared" si="15"/>
        <v>-85866.666666666672</v>
      </c>
    </row>
    <row r="106" spans="2:8" outlineLevel="1" x14ac:dyDescent="0.25">
      <c r="B106" t="str">
        <f t="shared" si="14"/>
        <v>Salud y bienestar</v>
      </c>
      <c r="C106" s="198">
        <f t="shared" si="15"/>
        <v>-164307.70666666667</v>
      </c>
    </row>
    <row r="107" spans="2:8" outlineLevel="1" x14ac:dyDescent="0.25">
      <c r="B107" t="str">
        <f t="shared" si="14"/>
        <v>Servicios y suscripciones</v>
      </c>
      <c r="C107" s="198">
        <f t="shared" si="15"/>
        <v>23050</v>
      </c>
    </row>
    <row r="108" spans="2:8" outlineLevel="1" x14ac:dyDescent="0.25">
      <c r="B108" t="str">
        <f t="shared" si="14"/>
        <v>Ropa y personal</v>
      </c>
      <c r="C108" s="198">
        <f t="shared" si="15"/>
        <v>-11793.333333333334</v>
      </c>
    </row>
    <row r="109" spans="2:8" outlineLevel="1" x14ac:dyDescent="0.25">
      <c r="B109" t="str">
        <f t="shared" si="14"/>
        <v>Regalos y eventos</v>
      </c>
      <c r="C109" s="198">
        <f t="shared" si="15"/>
        <v>-86080</v>
      </c>
    </row>
    <row r="110" spans="2:8" outlineLevel="1" x14ac:dyDescent="0.25">
      <c r="B110" t="str">
        <f t="shared" si="14"/>
        <v>Impuestos</v>
      </c>
      <c r="C110" s="198">
        <f t="shared" si="15"/>
        <v>-51714.966666666674</v>
      </c>
    </row>
    <row r="111" spans="2:8" outlineLevel="1" x14ac:dyDescent="0.25">
      <c r="B111" t="s">
        <v>389</v>
      </c>
      <c r="C111" s="198">
        <f>$C$15</f>
        <v>977204.43666666653</v>
      </c>
    </row>
  </sheetData>
  <mergeCells count="20">
    <mergeCell ref="B2:K2"/>
    <mergeCell ref="B4:C4"/>
    <mergeCell ref="B11:E11"/>
    <mergeCell ref="B21:K21"/>
    <mergeCell ref="B53:H53"/>
    <mergeCell ref="J4:K4"/>
    <mergeCell ref="J5:K6"/>
    <mergeCell ref="J7:K7"/>
    <mergeCell ref="J8:K9"/>
    <mergeCell ref="B72:C72"/>
    <mergeCell ref="C5:D5"/>
    <mergeCell ref="F4:G4"/>
    <mergeCell ref="F5:G6"/>
    <mergeCell ref="H4:I4"/>
    <mergeCell ref="H5:I6"/>
    <mergeCell ref="F7:G7"/>
    <mergeCell ref="F8:G9"/>
    <mergeCell ref="H7:I7"/>
    <mergeCell ref="H8:I9"/>
    <mergeCell ref="B62:G62"/>
  </mergeCells>
  <conditionalFormatting sqref="C63">
    <cfRule type="cellIs" dxfId="88" priority="9" operator="greaterThan">
      <formula>0</formula>
    </cfRule>
    <cfRule type="cellIs" dxfId="87" priority="10" operator="lessThan">
      <formula>0</formula>
    </cfRule>
  </conditionalFormatting>
  <conditionalFormatting sqref="C74:C83">
    <cfRule type="dataBar" priority="12">
      <dataBar>
        <cfvo type="min"/>
        <cfvo type="max"/>
        <color rgb="FFF4B183"/>
      </dataBar>
      <extLst>
        <ext xmlns:x14="http://schemas.microsoft.com/office/spreadsheetml/2009/9/main" uri="{B025F937-C7B1-47D3-B67F-A62EFF666E3E}">
          <x14:id>{378F4A07-5E98-4240-A545-9579FD1503AD}</x14:id>
        </ext>
      </extLst>
    </cfRule>
  </conditionalFormatting>
  <conditionalFormatting sqref="C89:C96">
    <cfRule type="dataBar" priority="13">
      <dataBar>
        <cfvo type="min"/>
        <cfvo type="max"/>
        <color rgb="FF9F2936"/>
      </dataBar>
      <extLst>
        <ext xmlns:x14="http://schemas.microsoft.com/office/spreadsheetml/2009/9/main" uri="{B025F937-C7B1-47D3-B67F-A62EFF666E3E}">
          <x14:id>{A40637DB-1033-4858-B096-50D00D693C09}</x14:id>
        </ext>
      </extLst>
    </cfRule>
  </conditionalFormatting>
  <conditionalFormatting sqref="C13:E16">
    <cfRule type="cellIs" dxfId="86" priority="3" operator="greaterThan">
      <formula>0</formula>
    </cfRule>
    <cfRule type="cellIs" dxfId="85" priority="4" operator="lessThan">
      <formula>0</formula>
    </cfRule>
  </conditionalFormatting>
  <conditionalFormatting sqref="C19:E19">
    <cfRule type="cellIs" dxfId="84" priority="5" operator="greaterThan">
      <formula>0</formula>
    </cfRule>
    <cfRule type="cellIs" dxfId="83" priority="6" operator="lessThan">
      <formula>0</formula>
    </cfRule>
  </conditionalFormatting>
  <conditionalFormatting sqref="C66:G70">
    <cfRule type="colorScale" priority="11">
      <colorScale>
        <cfvo type="min"/>
        <cfvo type="percentile" val="50"/>
        <cfvo type="max"/>
        <color rgb="FFF8CBAD"/>
        <color rgb="FFFFFFFF"/>
        <color rgb="FFC6E0B4"/>
      </colorScale>
    </cfRule>
  </conditionalFormatting>
  <conditionalFormatting sqref="C55:H58">
    <cfRule type="cellIs" dxfId="82" priority="7" operator="greaterThan">
      <formula>0</formula>
    </cfRule>
    <cfRule type="cellIs" dxfId="81" priority="8" operator="lessThan">
      <formula>0</formula>
    </cfRule>
  </conditionalFormatting>
  <conditionalFormatting sqref="D23:H49">
    <cfRule type="cellIs" dxfId="80" priority="1" operator="greaterThan">
      <formula>0</formula>
    </cfRule>
    <cfRule type="cellIs" dxfId="79" priority="2" operator="lessThan">
      <formula>0</formula>
    </cfRule>
  </conditionalFormatting>
  <conditionalFormatting sqref="I23:I49">
    <cfRule type="dataBar" priority="14">
      <dataBar>
        <cfvo type="min"/>
        <cfvo type="max"/>
        <color rgb="FFBFBFBF"/>
      </dataBar>
      <extLst>
        <ext xmlns:x14="http://schemas.microsoft.com/office/spreadsheetml/2009/9/main" uri="{B025F937-C7B1-47D3-B67F-A62EFF666E3E}">
          <x14:id>{B4A6225C-9F32-4B9B-8C59-6D8919E54063}</x14:id>
        </ext>
      </extLst>
    </cfRule>
  </conditionalFormatting>
  <dataValidations count="3">
    <dataValidation type="list" allowBlank="1" showInputMessage="1" showErrorMessage="1" sqref="C23:C49" xr:uid="{A50BF396-4779-42F4-88E1-431F034EBB13}">
      <formula1>"Gasto,Ingreso,Ahorro/Inversión,Neutro"</formula1>
    </dataValidation>
    <dataValidation type="list" allowBlank="1" showInputMessage="1" showErrorMessage="1" sqref="C5" xr:uid="{2657F6A0-EEC9-424C-8770-4D8269AFF58B}">
      <formula1>"Promedio meses cargados,julio,agosto,septiembre,octubre,noviembre,diciembre"</formula1>
    </dataValidation>
    <dataValidation type="list" allowBlank="1" showInputMessage="1" showErrorMessage="1" sqref="L23:L49" xr:uid="{D2707F89-178C-4574-B5AD-A8228B7072F3}">
      <formula1>"Comidas y salidas,Hogar y súper,Transporte,Salud y bienestar,Servicios y suscripciones,Ropa y personal,Regalos y eventos,Impuestos,Ingresos,Ahorro/Inversión,Neutro"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F4A07-5E98-4240-A545-9579FD1503AD}">
            <x14:dataBar minLength="0" maxLength="100" negativeBarColorSameAsPositive="1" axisPosition="none">
              <x14:cfvo type="min"/>
              <x14:cfvo type="max"/>
            </x14:dataBar>
          </x14:cfRule>
          <xm:sqref>C74:C83</xm:sqref>
        </x14:conditionalFormatting>
        <x14:conditionalFormatting xmlns:xm="http://schemas.microsoft.com/office/excel/2006/main">
          <x14:cfRule type="dataBar" id="{A40637DB-1033-4858-B096-50D00D693C09}">
            <x14:dataBar minLength="0" maxLength="100" negativeBarColorSameAsPositive="1" axisPosition="none">
              <x14:cfvo type="min"/>
              <x14:cfvo type="max"/>
            </x14:dataBar>
          </x14:cfRule>
          <xm:sqref>C89:C96</xm:sqref>
        </x14:conditionalFormatting>
        <x14:conditionalFormatting xmlns:xm="http://schemas.microsoft.com/office/excel/2006/main">
          <x14:cfRule type="dataBar" id="{B4A6225C-9F32-4B9B-8C59-6D8919E54063}">
            <x14:dataBar minLength="0" maxLength="100" negativeBarColorSameAsPositive="1" axisPosition="none">
              <x14:cfvo type="min"/>
              <x14:cfvo type="max"/>
            </x14:dataBar>
          </x14:cfRule>
          <xm:sqref>I23:I49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5E40-3C5B-4744-AEB3-DBD58904AD43}">
  <dimension ref="A1:G66"/>
  <sheetViews>
    <sheetView topLeftCell="A40" workbookViewId="0">
      <pane xSplit="1" topLeftCell="B1" activePane="topRight" state="frozen"/>
      <selection pane="topRight" activeCell="B69" sqref="B69"/>
    </sheetView>
  </sheetViews>
  <sheetFormatPr baseColWidth="10" defaultRowHeight="15" x14ac:dyDescent="0.25"/>
  <cols>
    <col min="1" max="1" width="36.140625" customWidth="1"/>
    <col min="2" max="7" width="18.140625" customWidth="1"/>
  </cols>
  <sheetData>
    <row r="1" spans="1:7" ht="18.75" x14ac:dyDescent="0.3">
      <c r="A1" s="147" t="s">
        <v>327</v>
      </c>
    </row>
    <row r="2" spans="1:7" x14ac:dyDescent="0.25">
      <c r="A2" s="148" t="s">
        <v>328</v>
      </c>
    </row>
    <row r="4" spans="1:7" x14ac:dyDescent="0.25">
      <c r="A4" s="165" t="s">
        <v>123</v>
      </c>
      <c r="B4" s="166" t="s">
        <v>329</v>
      </c>
      <c r="C4" s="166" t="s">
        <v>330</v>
      </c>
      <c r="D4" s="166" t="s">
        <v>331</v>
      </c>
      <c r="E4" s="166" t="s">
        <v>332</v>
      </c>
      <c r="F4" s="166" t="s">
        <v>333</v>
      </c>
      <c r="G4" s="167" t="s">
        <v>334</v>
      </c>
    </row>
    <row r="5" spans="1:7" x14ac:dyDescent="0.25">
      <c r="A5" s="150" t="s">
        <v>335</v>
      </c>
      <c r="B5" s="151">
        <v>46204</v>
      </c>
      <c r="C5" s="151">
        <v>46209</v>
      </c>
      <c r="D5" s="151">
        <v>46216</v>
      </c>
      <c r="E5" s="151">
        <v>46223</v>
      </c>
      <c r="F5" s="151">
        <v>46230</v>
      </c>
      <c r="G5" s="120"/>
    </row>
    <row r="6" spans="1:7" x14ac:dyDescent="0.25">
      <c r="A6" s="150" t="s">
        <v>336</v>
      </c>
      <c r="B6" s="151">
        <v>46208</v>
      </c>
      <c r="C6" s="151">
        <v>46215</v>
      </c>
      <c r="D6" s="151">
        <v>46222</v>
      </c>
      <c r="E6" s="151">
        <v>46229</v>
      </c>
      <c r="F6" s="151">
        <v>46234</v>
      </c>
      <c r="G6" s="120"/>
    </row>
    <row r="7" spans="1:7" x14ac:dyDescent="0.25">
      <c r="A7" t="s">
        <v>141</v>
      </c>
      <c r="B7" s="155">
        <f>-SUMIFS('Gastos julio'!$D$24:$D$99,'Gastos julio'!$F$24:$F$99,$A7,'Gastos julio'!$H$24:$H$99,"&gt;="&amp;B$5,'Gastos julio'!$H$24:$H$99,"&lt;="&amp;B$6)</f>
        <v>50559</v>
      </c>
      <c r="C7" s="155">
        <f>-SUMIFS('Gastos julio'!$D$24:$D$99,'Gastos julio'!$F$24:$F$99,$A7,'Gastos julio'!$H$24:$H$99,"&gt;="&amp;C$5,'Gastos julio'!$H$24:$H$99,"&lt;="&amp;C$6)</f>
        <v>140615</v>
      </c>
      <c r="D7" s="155">
        <f>-SUMIFS('Gastos julio'!$D$24:$D$99,'Gastos julio'!$F$24:$F$99,$A7,'Gastos julio'!$H$24:$H$99,"&gt;="&amp;D$5,'Gastos julio'!$H$24:$H$99,"&lt;="&amp;D$6)</f>
        <v>6883.6</v>
      </c>
      <c r="E7" s="155">
        <f>-SUMIFS('Gastos julio'!$D$24:$D$99,'Gastos julio'!$F$24:$F$99,$A7,'Gastos julio'!$H$24:$H$99,"&gt;="&amp;E$5,'Gastos julio'!$H$24:$H$99,"&lt;="&amp;E$6)</f>
        <v>26500</v>
      </c>
      <c r="F7" s="155">
        <f>-SUMIFS('Gastos julio'!$D$24:$D$99,'Gastos julio'!$F$24:$F$99,$A7,'Gastos julio'!$H$24:$H$99,"&gt;="&amp;F$5,'Gastos julio'!$H$24:$H$99,"&lt;="&amp;F$6)</f>
        <v>0</v>
      </c>
      <c r="G7" s="162">
        <f t="shared" ref="G7:G18" si="0">SUM(B7:F7)</f>
        <v>224557.6</v>
      </c>
    </row>
    <row r="8" spans="1:7" x14ac:dyDescent="0.25">
      <c r="A8" t="s">
        <v>151</v>
      </c>
      <c r="B8" s="155">
        <f>-SUMIFS('Gastos julio'!$D$24:$D$99,'Gastos julio'!$F$24:$F$99,$A8,'Gastos julio'!$H$24:$H$99,"&gt;="&amp;B$5,'Gastos julio'!$H$24:$H$99,"&lt;="&amp;B$6)</f>
        <v>0</v>
      </c>
      <c r="C8" s="155">
        <f>-SUMIFS('Gastos julio'!$D$24:$D$99,'Gastos julio'!$F$24:$F$99,$A8,'Gastos julio'!$H$24:$H$99,"&gt;="&amp;C$5,'Gastos julio'!$H$24:$H$99,"&lt;="&amp;C$6)</f>
        <v>0</v>
      </c>
      <c r="D8" s="155">
        <f>-SUMIFS('Gastos julio'!$D$24:$D$99,'Gastos julio'!$F$24:$F$99,$A8,'Gastos julio'!$H$24:$H$99,"&gt;="&amp;D$5,'Gastos julio'!$H$24:$H$99,"&lt;="&amp;D$6)</f>
        <v>132280</v>
      </c>
      <c r="E8" s="155">
        <f>-SUMIFS('Gastos julio'!$D$24:$D$99,'Gastos julio'!$F$24:$F$99,$A8,'Gastos julio'!$H$24:$H$99,"&gt;="&amp;E$5,'Gastos julio'!$H$24:$H$99,"&lt;="&amp;E$6)</f>
        <v>34100</v>
      </c>
      <c r="F8" s="155">
        <f>-SUMIFS('Gastos julio'!$D$24:$D$99,'Gastos julio'!$F$24:$F$99,$A8,'Gastos julio'!$H$24:$H$99,"&gt;="&amp;F$5,'Gastos julio'!$H$24:$H$99,"&lt;="&amp;F$6)</f>
        <v>13600</v>
      </c>
      <c r="G8" s="162">
        <f t="shared" si="0"/>
        <v>179980</v>
      </c>
    </row>
    <row r="9" spans="1:7" x14ac:dyDescent="0.25">
      <c r="A9" t="s">
        <v>152</v>
      </c>
      <c r="B9" s="155">
        <f>-SUMIFS('Gastos julio'!$D$24:$D$99,'Gastos julio'!$F$24:$F$99,$A9,'Gastos julio'!$H$24:$H$99,"&gt;="&amp;B$5,'Gastos julio'!$H$24:$H$99,"&lt;="&amp;B$6)</f>
        <v>71300</v>
      </c>
      <c r="C9" s="155">
        <f>-SUMIFS('Gastos julio'!$D$24:$D$99,'Gastos julio'!$F$24:$F$99,$A9,'Gastos julio'!$H$24:$H$99,"&gt;="&amp;C$5,'Gastos julio'!$H$24:$H$99,"&lt;="&amp;C$6)</f>
        <v>0</v>
      </c>
      <c r="D9" s="155">
        <f>-SUMIFS('Gastos julio'!$D$24:$D$99,'Gastos julio'!$F$24:$F$99,$A9,'Gastos julio'!$H$24:$H$99,"&gt;="&amp;D$5,'Gastos julio'!$H$24:$H$99,"&lt;="&amp;D$6)</f>
        <v>43400</v>
      </c>
      <c r="E9" s="155">
        <f>-SUMIFS('Gastos julio'!$D$24:$D$99,'Gastos julio'!$F$24:$F$99,$A9,'Gastos julio'!$H$24:$H$99,"&gt;="&amp;E$5,'Gastos julio'!$H$24:$H$99,"&lt;="&amp;E$6)</f>
        <v>30300</v>
      </c>
      <c r="F9" s="155">
        <f>-SUMIFS('Gastos julio'!$D$24:$D$99,'Gastos julio'!$F$24:$F$99,$A9,'Gastos julio'!$H$24:$H$99,"&gt;="&amp;F$5,'Gastos julio'!$H$24:$H$99,"&lt;="&amp;F$6)</f>
        <v>0</v>
      </c>
      <c r="G9" s="162">
        <f t="shared" si="0"/>
        <v>145000</v>
      </c>
    </row>
    <row r="10" spans="1:7" x14ac:dyDescent="0.25">
      <c r="A10" t="s">
        <v>153</v>
      </c>
      <c r="B10" s="155">
        <f>-SUMIFS('Gastos julio'!$D$24:$D$99,'Gastos julio'!$F$24:$F$99,$A10,'Gastos julio'!$H$24:$H$99,"&gt;="&amp;B$5,'Gastos julio'!$H$24:$H$99,"&lt;="&amp;B$6)</f>
        <v>0</v>
      </c>
      <c r="C10" s="155">
        <f>-SUMIFS('Gastos julio'!$D$24:$D$99,'Gastos julio'!$F$24:$F$99,$A10,'Gastos julio'!$H$24:$H$99,"&gt;="&amp;C$5,'Gastos julio'!$H$24:$H$99,"&lt;="&amp;C$6)</f>
        <v>0</v>
      </c>
      <c r="D10" s="155">
        <f>-SUMIFS('Gastos julio'!$D$24:$D$99,'Gastos julio'!$F$24:$F$99,$A10,'Gastos julio'!$H$24:$H$99,"&gt;="&amp;D$5,'Gastos julio'!$H$24:$H$99,"&lt;="&amp;D$6)</f>
        <v>0</v>
      </c>
      <c r="E10" s="155">
        <f>-SUMIFS('Gastos julio'!$D$24:$D$99,'Gastos julio'!$F$24:$F$99,$A10,'Gastos julio'!$H$24:$H$99,"&gt;="&amp;E$5,'Gastos julio'!$H$24:$H$99,"&lt;="&amp;E$6)</f>
        <v>65000</v>
      </c>
      <c r="F10" s="155">
        <f>-SUMIFS('Gastos julio'!$D$24:$D$99,'Gastos julio'!$F$24:$F$99,$A10,'Gastos julio'!$H$24:$H$99,"&gt;="&amp;F$5,'Gastos julio'!$H$24:$H$99,"&lt;="&amp;F$6)</f>
        <v>0</v>
      </c>
      <c r="G10" s="162">
        <f t="shared" si="0"/>
        <v>65000</v>
      </c>
    </row>
    <row r="11" spans="1:7" x14ac:dyDescent="0.25">
      <c r="A11" t="s">
        <v>137</v>
      </c>
      <c r="B11" s="155">
        <f>-SUMIFS('Gastos julio'!$D$24:$D$99,'Gastos julio'!$F$24:$F$99,$A11,'Gastos julio'!$H$24:$H$99,"&gt;="&amp;B$5,'Gastos julio'!$H$24:$H$99,"&lt;="&amp;B$6)</f>
        <v>23600</v>
      </c>
      <c r="C11" s="155">
        <f>-SUMIFS('Gastos julio'!$D$24:$D$99,'Gastos julio'!$F$24:$F$99,$A11,'Gastos julio'!$H$24:$H$99,"&gt;="&amp;C$5,'Gastos julio'!$H$24:$H$99,"&lt;="&amp;C$6)</f>
        <v>0</v>
      </c>
      <c r="D11" s="155">
        <f>-SUMIFS('Gastos julio'!$D$24:$D$99,'Gastos julio'!$F$24:$F$99,$A11,'Gastos julio'!$H$24:$H$99,"&gt;="&amp;D$5,'Gastos julio'!$H$24:$H$99,"&lt;="&amp;D$6)</f>
        <v>2000</v>
      </c>
      <c r="E11" s="155">
        <f>-SUMIFS('Gastos julio'!$D$24:$D$99,'Gastos julio'!$F$24:$F$99,$A11,'Gastos julio'!$H$24:$H$99,"&gt;="&amp;E$5,'Gastos julio'!$H$24:$H$99,"&lt;="&amp;E$6)</f>
        <v>4000</v>
      </c>
      <c r="F11" s="155">
        <f>-SUMIFS('Gastos julio'!$D$24:$D$99,'Gastos julio'!$F$24:$F$99,$A11,'Gastos julio'!$H$24:$H$99,"&gt;="&amp;F$5,'Gastos julio'!$H$24:$H$99,"&lt;="&amp;F$6)</f>
        <v>5000</v>
      </c>
      <c r="G11" s="162">
        <f t="shared" si="0"/>
        <v>34600</v>
      </c>
    </row>
    <row r="12" spans="1:7" x14ac:dyDescent="0.25">
      <c r="A12" t="s">
        <v>149</v>
      </c>
      <c r="B12" s="155">
        <f>-SUMIFS('Gastos julio'!$D$24:$D$99,'Gastos julio'!$F$24:$F$99,$A12,'Gastos julio'!$H$24:$H$99,"&gt;="&amp;B$5,'Gastos julio'!$H$24:$H$99,"&lt;="&amp;B$6)</f>
        <v>1300</v>
      </c>
      <c r="C12" s="155">
        <f>-SUMIFS('Gastos julio'!$D$24:$D$99,'Gastos julio'!$F$24:$F$99,$A12,'Gastos julio'!$H$24:$H$99,"&gt;="&amp;C$5,'Gastos julio'!$H$24:$H$99,"&lt;="&amp;C$6)</f>
        <v>0</v>
      </c>
      <c r="D12" s="155">
        <f>-SUMIFS('Gastos julio'!$D$24:$D$99,'Gastos julio'!$F$24:$F$99,$A12,'Gastos julio'!$H$24:$H$99,"&gt;="&amp;D$5,'Gastos julio'!$H$24:$H$99,"&lt;="&amp;D$6)</f>
        <v>0</v>
      </c>
      <c r="E12" s="155">
        <f>-SUMIFS('Gastos julio'!$D$24:$D$99,'Gastos julio'!$F$24:$F$99,$A12,'Gastos julio'!$H$24:$H$99,"&gt;="&amp;E$5,'Gastos julio'!$H$24:$H$99,"&lt;="&amp;E$6)</f>
        <v>13000</v>
      </c>
      <c r="F12" s="155">
        <f>-SUMIFS('Gastos julio'!$D$24:$D$99,'Gastos julio'!$F$24:$F$99,$A12,'Gastos julio'!$H$24:$H$99,"&gt;="&amp;F$5,'Gastos julio'!$H$24:$H$99,"&lt;="&amp;F$6)</f>
        <v>0</v>
      </c>
      <c r="G12" s="162">
        <f t="shared" si="0"/>
        <v>14300</v>
      </c>
    </row>
    <row r="13" spans="1:7" x14ac:dyDescent="0.25">
      <c r="A13" t="s">
        <v>202</v>
      </c>
      <c r="B13" s="155">
        <f>-SUMIFS('Gastos julio'!$D$24:$D$99,'Gastos julio'!$F$24:$F$99,$A13,'Gastos julio'!$H$24:$H$99,"&gt;="&amp;B$5,'Gastos julio'!$H$24:$H$99,"&lt;="&amp;B$6)</f>
        <v>0</v>
      </c>
      <c r="C13" s="155">
        <f>-SUMIFS('Gastos julio'!$D$24:$D$99,'Gastos julio'!$F$24:$F$99,$A13,'Gastos julio'!$H$24:$H$99,"&gt;="&amp;C$5,'Gastos julio'!$H$24:$H$99,"&lt;="&amp;C$6)</f>
        <v>40000</v>
      </c>
      <c r="D13" s="155">
        <f>-SUMIFS('Gastos julio'!$D$24:$D$99,'Gastos julio'!$F$24:$F$99,$A13,'Gastos julio'!$H$24:$H$99,"&gt;="&amp;D$5,'Gastos julio'!$H$24:$H$99,"&lt;="&amp;D$6)</f>
        <v>0</v>
      </c>
      <c r="E13" s="155">
        <f>-SUMIFS('Gastos julio'!$D$24:$D$99,'Gastos julio'!$F$24:$F$99,$A13,'Gastos julio'!$H$24:$H$99,"&gt;="&amp;E$5,'Gastos julio'!$H$24:$H$99,"&lt;="&amp;E$6)</f>
        <v>45000</v>
      </c>
      <c r="F13" s="155">
        <f>-SUMIFS('Gastos julio'!$D$24:$D$99,'Gastos julio'!$F$24:$F$99,$A13,'Gastos julio'!$H$24:$H$99,"&gt;="&amp;F$5,'Gastos julio'!$H$24:$H$99,"&lt;="&amp;F$6)</f>
        <v>0</v>
      </c>
      <c r="G13" s="162">
        <f t="shared" si="0"/>
        <v>85000</v>
      </c>
    </row>
    <row r="14" spans="1:7" x14ac:dyDescent="0.25">
      <c r="A14" t="s">
        <v>201</v>
      </c>
      <c r="B14" s="155">
        <f>-SUMIFS('Gastos julio'!$D$24:$D$99,'Gastos julio'!$F$24:$F$99,$A14,'Gastos julio'!$H$24:$H$99,"&gt;="&amp;B$5,'Gastos julio'!$H$24:$H$99,"&lt;="&amp;B$6)</f>
        <v>0</v>
      </c>
      <c r="C14" s="155">
        <f>-SUMIFS('Gastos julio'!$D$24:$D$99,'Gastos julio'!$F$24:$F$99,$A14,'Gastos julio'!$H$24:$H$99,"&gt;="&amp;C$5,'Gastos julio'!$H$24:$H$99,"&lt;="&amp;C$6)</f>
        <v>53000</v>
      </c>
      <c r="D14" s="155">
        <f>-SUMIFS('Gastos julio'!$D$24:$D$99,'Gastos julio'!$F$24:$F$99,$A14,'Gastos julio'!$H$24:$H$99,"&gt;="&amp;D$5,'Gastos julio'!$H$24:$H$99,"&lt;="&amp;D$6)</f>
        <v>0</v>
      </c>
      <c r="E14" s="155">
        <f>-SUMIFS('Gastos julio'!$D$24:$D$99,'Gastos julio'!$F$24:$F$99,$A14,'Gastos julio'!$H$24:$H$99,"&gt;="&amp;E$5,'Gastos julio'!$H$24:$H$99,"&lt;="&amp;E$6)</f>
        <v>0</v>
      </c>
      <c r="F14" s="155">
        <f>-SUMIFS('Gastos julio'!$D$24:$D$99,'Gastos julio'!$F$24:$F$99,$A14,'Gastos julio'!$H$24:$H$99,"&gt;="&amp;F$5,'Gastos julio'!$H$24:$H$99,"&lt;="&amp;F$6)</f>
        <v>53000</v>
      </c>
      <c r="G14" s="162">
        <f t="shared" si="0"/>
        <v>106000</v>
      </c>
    </row>
    <row r="15" spans="1:7" x14ac:dyDescent="0.25">
      <c r="A15" t="s">
        <v>138</v>
      </c>
      <c r="B15" s="155">
        <f>-SUMIFS('Gastos julio'!$D$24:$D$99,'Gastos julio'!$F$24:$F$99,$A15,'Gastos julio'!$H$24:$H$99,"&gt;="&amp;B$5,'Gastos julio'!$H$24:$H$99,"&lt;="&amp;B$6)</f>
        <v>0</v>
      </c>
      <c r="C15" s="155">
        <f>-SUMIFS('Gastos julio'!$D$24:$D$99,'Gastos julio'!$F$24:$F$99,$A15,'Gastos julio'!$H$24:$H$99,"&gt;="&amp;C$5,'Gastos julio'!$H$24:$H$99,"&lt;="&amp;C$6)</f>
        <v>0</v>
      </c>
      <c r="D15" s="155">
        <f>-SUMIFS('Gastos julio'!$D$24:$D$99,'Gastos julio'!$F$24:$F$99,$A15,'Gastos julio'!$H$24:$H$99,"&gt;="&amp;D$5,'Gastos julio'!$H$24:$H$99,"&lt;="&amp;D$6)</f>
        <v>0</v>
      </c>
      <c r="E15" s="155">
        <f>-SUMIFS('Gastos julio'!$D$24:$D$99,'Gastos julio'!$F$24:$F$99,$A15,'Gastos julio'!$H$24:$H$99,"&gt;="&amp;E$5,'Gastos julio'!$H$24:$H$99,"&lt;="&amp;E$6)</f>
        <v>9599.4</v>
      </c>
      <c r="F15" s="155">
        <f>-SUMIFS('Gastos julio'!$D$24:$D$99,'Gastos julio'!$F$24:$F$99,$A15,'Gastos julio'!$H$24:$H$99,"&gt;="&amp;F$5,'Gastos julio'!$H$24:$H$99,"&lt;="&amp;F$6)</f>
        <v>25693</v>
      </c>
      <c r="G15" s="162">
        <f t="shared" si="0"/>
        <v>35292.400000000001</v>
      </c>
    </row>
    <row r="16" spans="1:7" x14ac:dyDescent="0.25">
      <c r="A16" t="s">
        <v>230</v>
      </c>
      <c r="B16" s="155">
        <f>-SUMIFS('Gastos julio'!$D$24:$D$99,'Gastos julio'!$F$24:$F$99,$A16,'Gastos julio'!$H$24:$H$99,"&gt;="&amp;B$5,'Gastos julio'!$H$24:$H$99,"&lt;="&amp;B$6)</f>
        <v>0</v>
      </c>
      <c r="C16" s="155">
        <f>-SUMIFS('Gastos julio'!$D$24:$D$99,'Gastos julio'!$F$24:$F$99,$A16,'Gastos julio'!$H$24:$H$99,"&gt;="&amp;C$5,'Gastos julio'!$H$24:$H$99,"&lt;="&amp;C$6)</f>
        <v>0</v>
      </c>
      <c r="D16" s="155">
        <f>-SUMIFS('Gastos julio'!$D$24:$D$99,'Gastos julio'!$F$24:$F$99,$A16,'Gastos julio'!$H$24:$H$99,"&gt;="&amp;D$5,'Gastos julio'!$H$24:$H$99,"&lt;="&amp;D$6)</f>
        <v>0</v>
      </c>
      <c r="E16" s="155">
        <f>-SUMIFS('Gastos julio'!$D$24:$D$99,'Gastos julio'!$F$24:$F$99,$A16,'Gastos julio'!$H$24:$H$99,"&gt;="&amp;E$5,'Gastos julio'!$H$24:$H$99,"&lt;="&amp;E$6)</f>
        <v>32980</v>
      </c>
      <c r="F16" s="155">
        <f>-SUMIFS('Gastos julio'!$D$24:$D$99,'Gastos julio'!$F$24:$F$99,$A16,'Gastos julio'!$H$24:$H$99,"&gt;="&amp;F$5,'Gastos julio'!$H$24:$H$99,"&lt;="&amp;F$6)</f>
        <v>0</v>
      </c>
      <c r="G16" s="162">
        <f t="shared" si="0"/>
        <v>32980</v>
      </c>
    </row>
    <row r="17" spans="1:7" x14ac:dyDescent="0.25">
      <c r="A17" t="s">
        <v>221</v>
      </c>
      <c r="B17" s="155">
        <f>-SUMIFS('Gastos julio'!$D$24:$D$99,'Gastos julio'!$F$24:$F$99,$A17,'Gastos julio'!$H$24:$H$99,"&gt;="&amp;B$5,'Gastos julio'!$H$24:$H$99,"&lt;="&amp;B$6)</f>
        <v>0</v>
      </c>
      <c r="C17" s="155">
        <f>-SUMIFS('Gastos julio'!$D$24:$D$99,'Gastos julio'!$F$24:$F$99,$A17,'Gastos julio'!$H$24:$H$99,"&gt;="&amp;C$5,'Gastos julio'!$H$24:$H$99,"&lt;="&amp;C$6)</f>
        <v>0</v>
      </c>
      <c r="D17" s="155">
        <f>-SUMIFS('Gastos julio'!$D$24:$D$99,'Gastos julio'!$F$24:$F$99,$A17,'Gastos julio'!$H$24:$H$99,"&gt;="&amp;D$5,'Gastos julio'!$H$24:$H$99,"&lt;="&amp;D$6)</f>
        <v>0</v>
      </c>
      <c r="E17" s="155">
        <f>-SUMIFS('Gastos julio'!$D$24:$D$99,'Gastos julio'!$F$24:$F$99,$A17,'Gastos julio'!$H$24:$H$99,"&gt;="&amp;E$5,'Gastos julio'!$H$24:$H$99,"&lt;="&amp;E$6)</f>
        <v>42386.74</v>
      </c>
      <c r="F17" s="155">
        <f>-SUMIFS('Gastos julio'!$D$24:$D$99,'Gastos julio'!$F$24:$F$99,$A17,'Gastos julio'!$H$24:$H$99,"&gt;="&amp;F$5,'Gastos julio'!$H$24:$H$99,"&lt;="&amp;F$6)</f>
        <v>0</v>
      </c>
      <c r="G17" s="162">
        <f t="shared" si="0"/>
        <v>42386.74</v>
      </c>
    </row>
    <row r="18" spans="1:7" x14ac:dyDescent="0.25">
      <c r="A18" t="s">
        <v>250</v>
      </c>
      <c r="B18" s="155">
        <f>-SUMIFS('Gastos julio'!$D$24:$D$99,'Gastos julio'!$F$24:$F$99,$A18,'Gastos julio'!$H$24:$H$99,"&gt;="&amp;B$5,'Gastos julio'!$H$24:$H$99,"&lt;="&amp;B$6)</f>
        <v>0</v>
      </c>
      <c r="C18" s="155">
        <f>-SUMIFS('Gastos julio'!$D$24:$D$99,'Gastos julio'!$F$24:$F$99,$A18,'Gastos julio'!$H$24:$H$99,"&gt;="&amp;C$5,'Gastos julio'!$H$24:$H$99,"&lt;="&amp;C$6)</f>
        <v>0</v>
      </c>
      <c r="D18" s="155">
        <f>-SUMIFS('Gastos julio'!$D$24:$D$99,'Gastos julio'!$F$24:$F$99,$A18,'Gastos julio'!$H$24:$H$99,"&gt;="&amp;D$5,'Gastos julio'!$H$24:$H$99,"&lt;="&amp;D$6)</f>
        <v>0</v>
      </c>
      <c r="E18" s="155">
        <f>-SUMIFS('Gastos julio'!$D$24:$D$99,'Gastos julio'!$F$24:$F$99,$A18,'Gastos julio'!$H$24:$H$99,"&gt;="&amp;E$5,'Gastos julio'!$H$24:$H$99,"&lt;="&amp;E$6)</f>
        <v>0</v>
      </c>
      <c r="F18" s="155">
        <f>-SUMIFS('Gastos julio'!$D$24:$D$99,'Gastos julio'!$F$24:$F$99,$A18,'Gastos julio'!$H$24:$H$99,"&gt;="&amp;F$5,'Gastos julio'!$H$24:$H$99,"&lt;="&amp;F$6)</f>
        <v>25000</v>
      </c>
      <c r="G18" s="162">
        <f t="shared" si="0"/>
        <v>25000</v>
      </c>
    </row>
    <row r="19" spans="1:7" x14ac:dyDescent="0.25">
      <c r="A19" s="159" t="s">
        <v>347</v>
      </c>
      <c r="B19" s="160">
        <f t="shared" ref="B19:G19" si="1">SUM(B7:B18)</f>
        <v>146759</v>
      </c>
      <c r="C19" s="160">
        <f t="shared" si="1"/>
        <v>233615</v>
      </c>
      <c r="D19" s="160">
        <f t="shared" si="1"/>
        <v>184563.6</v>
      </c>
      <c r="E19" s="160">
        <f t="shared" si="1"/>
        <v>302866.14</v>
      </c>
      <c r="F19" s="160">
        <f t="shared" si="1"/>
        <v>122293</v>
      </c>
      <c r="G19" s="163">
        <f t="shared" si="1"/>
        <v>990096.74</v>
      </c>
    </row>
    <row r="20" spans="1:7" x14ac:dyDescent="0.25">
      <c r="B20" s="155"/>
      <c r="C20" s="155"/>
      <c r="D20" s="155"/>
      <c r="E20" s="155"/>
      <c r="F20" s="155"/>
      <c r="G20" s="162"/>
    </row>
    <row r="21" spans="1:7" x14ac:dyDescent="0.25">
      <c r="A21" s="152" t="s">
        <v>337</v>
      </c>
      <c r="B21" s="155"/>
      <c r="C21" s="155"/>
      <c r="D21" s="155"/>
      <c r="E21" s="155"/>
      <c r="F21" s="155"/>
      <c r="G21" s="162"/>
    </row>
    <row r="22" spans="1:7" x14ac:dyDescent="0.25">
      <c r="A22" t="s">
        <v>175</v>
      </c>
      <c r="B22" s="155">
        <f>-SUMIFS('Gastos julio'!$D$24:$D$99,'Gastos julio'!$F$24:$F$99,$A22,'Gastos julio'!$H$24:$H$99,"&gt;="&amp;B$5,'Gastos julio'!$H$24:$H$99,"&lt;="&amp;B$6)</f>
        <v>0</v>
      </c>
      <c r="C22" s="155">
        <f>-SUMIFS('Gastos julio'!$D$24:$D$99,'Gastos julio'!$F$24:$F$99,$A22,'Gastos julio'!$H$24:$H$99,"&gt;="&amp;C$5,'Gastos julio'!$H$24:$H$99,"&lt;="&amp;C$6)</f>
        <v>692785.84</v>
      </c>
      <c r="D22" s="155">
        <f>-SUMIFS('Gastos julio'!$D$24:$D$99,'Gastos julio'!$F$24:$F$99,$A22,'Gastos julio'!$H$24:$H$99,"&gt;="&amp;D$5,'Gastos julio'!$H$24:$H$99,"&lt;="&amp;D$6)</f>
        <v>0</v>
      </c>
      <c r="E22" s="155">
        <f>-SUMIFS('Gastos julio'!$D$24:$D$99,'Gastos julio'!$F$24:$F$99,$A22,'Gastos julio'!$H$24:$H$99,"&gt;="&amp;E$5,'Gastos julio'!$H$24:$H$99,"&lt;="&amp;E$6)</f>
        <v>0</v>
      </c>
      <c r="F22" s="155">
        <f>-SUMIFS('Gastos julio'!$D$24:$D$99,'Gastos julio'!$F$24:$F$99,$A22,'Gastos julio'!$H$24:$H$99,"&gt;="&amp;F$5,'Gastos julio'!$H$24:$H$99,"&lt;="&amp;F$6)</f>
        <v>0</v>
      </c>
      <c r="G22" s="162">
        <f>SUM(B22:F22)</f>
        <v>692785.84</v>
      </c>
    </row>
    <row r="23" spans="1:7" x14ac:dyDescent="0.25">
      <c r="A23" t="s">
        <v>167</v>
      </c>
      <c r="B23" s="155">
        <f>-SUMIFS('Gastos julio'!$D$24:$D$99,'Gastos julio'!$F$24:$F$99,$A23,'Gastos julio'!$H$24:$H$99,"&gt;="&amp;B$5,'Gastos julio'!$H$24:$H$99,"&lt;="&amp;B$6)</f>
        <v>1200000</v>
      </c>
      <c r="C23" s="155">
        <f>-SUMIFS('Gastos julio'!$D$24:$D$99,'Gastos julio'!$F$24:$F$99,$A23,'Gastos julio'!$H$24:$H$99,"&gt;="&amp;C$5,'Gastos julio'!$H$24:$H$99,"&lt;="&amp;C$6)</f>
        <v>0</v>
      </c>
      <c r="D23" s="155">
        <f>-SUMIFS('Gastos julio'!$D$24:$D$99,'Gastos julio'!$F$24:$F$99,$A23,'Gastos julio'!$H$24:$H$99,"&gt;="&amp;D$5,'Gastos julio'!$H$24:$H$99,"&lt;="&amp;D$6)</f>
        <v>0</v>
      </c>
      <c r="E23" s="155">
        <f>-SUMIFS('Gastos julio'!$D$24:$D$99,'Gastos julio'!$F$24:$F$99,$A23,'Gastos julio'!$H$24:$H$99,"&gt;="&amp;E$5,'Gastos julio'!$H$24:$H$99,"&lt;="&amp;E$6)</f>
        <v>0</v>
      </c>
      <c r="F23" s="155">
        <f>-SUMIFS('Gastos julio'!$D$24:$D$99,'Gastos julio'!$F$24:$F$99,$A23,'Gastos julio'!$H$24:$H$99,"&gt;="&amp;F$5,'Gastos julio'!$H$24:$H$99,"&lt;="&amp;F$6)</f>
        <v>0</v>
      </c>
      <c r="G23" s="162">
        <f>SUM(B23:F23)</f>
        <v>1200000</v>
      </c>
    </row>
    <row r="24" spans="1:7" x14ac:dyDescent="0.25">
      <c r="A24" t="s">
        <v>165</v>
      </c>
      <c r="B24" s="155">
        <f>-SUMIFS('Gastos julio'!$D$24:$D$99,'Gastos julio'!$F$24:$F$99,$A24,'Gastos julio'!$H$24:$H$99,"&gt;="&amp;B$5,'Gastos julio'!$H$24:$H$99,"&lt;="&amp;B$6)</f>
        <v>1000524.26</v>
      </c>
      <c r="C24" s="155">
        <f>-SUMIFS('Gastos julio'!$D$24:$D$99,'Gastos julio'!$F$24:$F$99,$A24,'Gastos julio'!$H$24:$H$99,"&gt;="&amp;C$5,'Gastos julio'!$H$24:$H$99,"&lt;="&amp;C$6)</f>
        <v>700000</v>
      </c>
      <c r="D24" s="155">
        <f>-SUMIFS('Gastos julio'!$D$24:$D$99,'Gastos julio'!$F$24:$F$99,$A24,'Gastos julio'!$H$24:$H$99,"&gt;="&amp;D$5,'Gastos julio'!$H$24:$H$99,"&lt;="&amp;D$6)</f>
        <v>0</v>
      </c>
      <c r="E24" s="155">
        <f>-SUMIFS('Gastos julio'!$D$24:$D$99,'Gastos julio'!$F$24:$F$99,$A24,'Gastos julio'!$H$24:$H$99,"&gt;="&amp;E$5,'Gastos julio'!$H$24:$H$99,"&lt;="&amp;E$6)</f>
        <v>140000</v>
      </c>
      <c r="F24" s="155">
        <f>-SUMIFS('Gastos julio'!$D$24:$D$99,'Gastos julio'!$F$24:$F$99,$A24,'Gastos julio'!$H$24:$H$99,"&gt;="&amp;F$5,'Gastos julio'!$H$24:$H$99,"&lt;="&amp;F$6)</f>
        <v>0</v>
      </c>
      <c r="G24" s="162">
        <f>SUM(B24:F24)</f>
        <v>1840524.26</v>
      </c>
    </row>
    <row r="25" spans="1:7" x14ac:dyDescent="0.25">
      <c r="A25" s="159" t="s">
        <v>338</v>
      </c>
      <c r="B25" s="160">
        <f t="shared" ref="B25:G25" si="2">SUM(B22:B24)</f>
        <v>2200524.2599999998</v>
      </c>
      <c r="C25" s="160">
        <f t="shared" si="2"/>
        <v>1392785.8399999999</v>
      </c>
      <c r="D25" s="160">
        <f t="shared" si="2"/>
        <v>0</v>
      </c>
      <c r="E25" s="160">
        <f t="shared" si="2"/>
        <v>140000</v>
      </c>
      <c r="F25" s="160">
        <f t="shared" si="2"/>
        <v>0</v>
      </c>
      <c r="G25" s="163">
        <f t="shared" si="2"/>
        <v>3733310.0999999996</v>
      </c>
    </row>
    <row r="26" spans="1:7" x14ac:dyDescent="0.25">
      <c r="B26" s="155"/>
      <c r="C26" s="155"/>
      <c r="D26" s="155"/>
      <c r="E26" s="155"/>
      <c r="F26" s="155"/>
      <c r="G26" s="162"/>
    </row>
    <row r="27" spans="1:7" x14ac:dyDescent="0.25">
      <c r="A27" s="157" t="s">
        <v>339</v>
      </c>
      <c r="B27" s="158">
        <f t="shared" ref="B27:G27" si="3">B19+B25</f>
        <v>2347283.2599999998</v>
      </c>
      <c r="C27" s="158">
        <f t="shared" si="3"/>
        <v>1626400.8399999999</v>
      </c>
      <c r="D27" s="158">
        <f t="shared" si="3"/>
        <v>184563.6</v>
      </c>
      <c r="E27" s="158">
        <f t="shared" si="3"/>
        <v>442866.14</v>
      </c>
      <c r="F27" s="158">
        <f t="shared" si="3"/>
        <v>122293</v>
      </c>
      <c r="G27" s="164">
        <f t="shared" si="3"/>
        <v>4723406.84</v>
      </c>
    </row>
    <row r="29" spans="1:7" x14ac:dyDescent="0.25">
      <c r="A29" s="153" t="s">
        <v>340</v>
      </c>
      <c r="B29" s="156">
        <f>-SUMIFS('Gastos julio'!$D$24:$D$99,'Gastos julio'!$H$24:$H$99,"&gt;="&amp;$B$5,'Gastos julio'!$H$24:$H$99,"&lt;="&amp;$F$6)</f>
        <v>4723406.84</v>
      </c>
    </row>
    <row r="30" spans="1:7" x14ac:dyDescent="0.25">
      <c r="A30" s="154" t="s">
        <v>341</v>
      </c>
      <c r="B30" s="156">
        <f>B29-G27</f>
        <v>0</v>
      </c>
    </row>
    <row r="31" spans="1:7" x14ac:dyDescent="0.25">
      <c r="A31" s="154" t="s">
        <v>342</v>
      </c>
      <c r="B31" s="156">
        <f>-SUMIFS('Gastos julio'!$D$24:$D$99,'Gastos julio'!$H$24:$H$99,"&gt;"&amp;$F$6)-SUMIFS('Gastos julio'!$D$24:$D$99,'Gastos julio'!$H$24:$H$99,"&lt;"&amp;$B$5)</f>
        <v>42000</v>
      </c>
    </row>
    <row r="33" spans="1:7" x14ac:dyDescent="0.25">
      <c r="A33" s="11" t="s">
        <v>343</v>
      </c>
    </row>
    <row r="34" spans="1:7" x14ac:dyDescent="0.25">
      <c r="A34" s="168" t="s">
        <v>123</v>
      </c>
      <c r="B34" s="149" t="s">
        <v>329</v>
      </c>
      <c r="C34" s="149" t="s">
        <v>330</v>
      </c>
      <c r="D34" s="149" t="s">
        <v>331</v>
      </c>
      <c r="E34" s="149" t="s">
        <v>332</v>
      </c>
      <c r="F34" s="149" t="s">
        <v>333</v>
      </c>
      <c r="G34" s="161" t="s">
        <v>334</v>
      </c>
    </row>
    <row r="35" spans="1:7" x14ac:dyDescent="0.25">
      <c r="A35" t="str">
        <f t="shared" ref="A35:A46" si="4">$A7</f>
        <v>Delivery</v>
      </c>
      <c r="B35" s="155">
        <f>SUMIFS('Gastos julio'!$C$24:$C$99,'Gastos julio'!$F$24:$F$99,$A35,'Gastos julio'!$H$24:$H$99,"&gt;="&amp;B$5,'Gastos julio'!$H$24:$H$99,"&lt;="&amp;B$6)</f>
        <v>20000</v>
      </c>
      <c r="C35" s="155">
        <f>SUMIFS('Gastos julio'!$C$24:$C$99,'Gastos julio'!$F$24:$F$99,$A35,'Gastos julio'!$H$24:$H$99,"&gt;="&amp;C$5,'Gastos julio'!$H$24:$H$99,"&lt;="&amp;C$6)</f>
        <v>133000</v>
      </c>
      <c r="D35" s="155">
        <f>SUMIFS('Gastos julio'!$C$24:$C$99,'Gastos julio'!$F$24:$F$99,$A35,'Gastos julio'!$H$24:$H$99,"&gt;="&amp;D$5,'Gastos julio'!$H$24:$H$99,"&lt;="&amp;D$6)</f>
        <v>0</v>
      </c>
      <c r="E35" s="155">
        <f>SUMIFS('Gastos julio'!$C$24:$C$99,'Gastos julio'!$F$24:$F$99,$A35,'Gastos julio'!$H$24:$H$99,"&gt;="&amp;E$5,'Gastos julio'!$H$24:$H$99,"&lt;="&amp;E$6)</f>
        <v>0</v>
      </c>
      <c r="F35" s="155">
        <f>SUMIFS('Gastos julio'!$C$24:$C$99,'Gastos julio'!$F$24:$F$99,$A35,'Gastos julio'!$H$24:$H$99,"&gt;="&amp;F$5,'Gastos julio'!$H$24:$H$99,"&lt;="&amp;F$6)</f>
        <v>0</v>
      </c>
      <c r="G35" s="162">
        <f t="shared" ref="G35:G46" si="5">SUM(B35:F35)</f>
        <v>153000</v>
      </c>
    </row>
    <row r="36" spans="1:7" x14ac:dyDescent="0.25">
      <c r="A36" t="str">
        <f t="shared" si="4"/>
        <v>Salidas a cenar/almorzar</v>
      </c>
      <c r="B36" s="155">
        <f>SUMIFS('Gastos julio'!$C$24:$C$99,'Gastos julio'!$F$24:$F$99,$A36,'Gastos julio'!$H$24:$H$99,"&gt;="&amp;B$5,'Gastos julio'!$H$24:$H$99,"&lt;="&amp;B$6)</f>
        <v>0</v>
      </c>
      <c r="C36" s="155">
        <f>SUMIFS('Gastos julio'!$C$24:$C$99,'Gastos julio'!$F$24:$F$99,$A36,'Gastos julio'!$H$24:$H$99,"&gt;="&amp;C$5,'Gastos julio'!$H$24:$H$99,"&lt;="&amp;C$6)</f>
        <v>0</v>
      </c>
      <c r="D36" s="155">
        <f>SUMIFS('Gastos julio'!$C$24:$C$99,'Gastos julio'!$F$24:$F$99,$A36,'Gastos julio'!$H$24:$H$99,"&gt;="&amp;D$5,'Gastos julio'!$H$24:$H$99,"&lt;="&amp;D$6)</f>
        <v>40050</v>
      </c>
      <c r="E36" s="155">
        <f>SUMIFS('Gastos julio'!$C$24:$C$99,'Gastos julio'!$F$24:$F$99,$A36,'Gastos julio'!$H$24:$H$99,"&gt;="&amp;E$5,'Gastos julio'!$H$24:$H$99,"&lt;="&amp;E$6)</f>
        <v>0</v>
      </c>
      <c r="F36" s="155">
        <f>SUMIFS('Gastos julio'!$C$24:$C$99,'Gastos julio'!$F$24:$F$99,$A36,'Gastos julio'!$H$24:$H$99,"&gt;="&amp;F$5,'Gastos julio'!$H$24:$H$99,"&lt;="&amp;F$6)</f>
        <v>0</v>
      </c>
      <c r="G36" s="162">
        <f t="shared" si="5"/>
        <v>40050</v>
      </c>
    </row>
    <row r="37" spans="1:7" x14ac:dyDescent="0.25">
      <c r="A37" t="str">
        <f t="shared" si="4"/>
        <v>Salidas a desyunar/merendar</v>
      </c>
      <c r="B37" s="155">
        <f>SUMIFS('Gastos julio'!$C$24:$C$99,'Gastos julio'!$F$24:$F$99,$A37,'Gastos julio'!$H$24:$H$99,"&gt;="&amp;B$5,'Gastos julio'!$H$24:$H$99,"&lt;="&amp;B$6)</f>
        <v>17200</v>
      </c>
      <c r="C37" s="155">
        <f>SUMIFS('Gastos julio'!$C$24:$C$99,'Gastos julio'!$F$24:$F$99,$A37,'Gastos julio'!$H$24:$H$99,"&gt;="&amp;C$5,'Gastos julio'!$H$24:$H$99,"&lt;="&amp;C$6)</f>
        <v>0</v>
      </c>
      <c r="D37" s="155">
        <f>SUMIFS('Gastos julio'!$C$24:$C$99,'Gastos julio'!$F$24:$F$99,$A37,'Gastos julio'!$H$24:$H$99,"&gt;="&amp;D$5,'Gastos julio'!$H$24:$H$99,"&lt;="&amp;D$6)</f>
        <v>17000</v>
      </c>
      <c r="E37" s="155">
        <f>SUMIFS('Gastos julio'!$C$24:$C$99,'Gastos julio'!$F$24:$F$99,$A37,'Gastos julio'!$H$24:$H$99,"&gt;="&amp;E$5,'Gastos julio'!$H$24:$H$99,"&lt;="&amp;E$6)</f>
        <v>0</v>
      </c>
      <c r="F37" s="155">
        <f>SUMIFS('Gastos julio'!$C$24:$C$99,'Gastos julio'!$F$24:$F$99,$A37,'Gastos julio'!$H$24:$H$99,"&gt;="&amp;F$5,'Gastos julio'!$H$24:$H$99,"&lt;="&amp;F$6)</f>
        <v>0</v>
      </c>
      <c r="G37" s="162">
        <f t="shared" si="5"/>
        <v>34200</v>
      </c>
    </row>
    <row r="38" spans="1:7" x14ac:dyDescent="0.25">
      <c r="A38" t="str">
        <f t="shared" si="4"/>
        <v>Salidas a tomar algo</v>
      </c>
      <c r="B38" s="155">
        <f>SUMIFS('Gastos julio'!$C$24:$C$99,'Gastos julio'!$F$24:$F$99,$A38,'Gastos julio'!$H$24:$H$99,"&gt;="&amp;B$5,'Gastos julio'!$H$24:$H$99,"&lt;="&amp;B$6)</f>
        <v>0</v>
      </c>
      <c r="C38" s="155">
        <f>SUMIFS('Gastos julio'!$C$24:$C$99,'Gastos julio'!$F$24:$F$99,$A38,'Gastos julio'!$H$24:$H$99,"&gt;="&amp;C$5,'Gastos julio'!$H$24:$H$99,"&lt;="&amp;C$6)</f>
        <v>0</v>
      </c>
      <c r="D38" s="155">
        <f>SUMIFS('Gastos julio'!$C$24:$C$99,'Gastos julio'!$F$24:$F$99,$A38,'Gastos julio'!$H$24:$H$99,"&gt;="&amp;D$5,'Gastos julio'!$H$24:$H$99,"&lt;="&amp;D$6)</f>
        <v>0</v>
      </c>
      <c r="E38" s="155">
        <f>SUMIFS('Gastos julio'!$C$24:$C$99,'Gastos julio'!$F$24:$F$99,$A38,'Gastos julio'!$H$24:$H$99,"&gt;="&amp;E$5,'Gastos julio'!$H$24:$H$99,"&lt;="&amp;E$6)</f>
        <v>32000</v>
      </c>
      <c r="F38" s="155">
        <f>SUMIFS('Gastos julio'!$C$24:$C$99,'Gastos julio'!$F$24:$F$99,$A38,'Gastos julio'!$H$24:$H$99,"&gt;="&amp;F$5,'Gastos julio'!$H$24:$H$99,"&lt;="&amp;F$6)</f>
        <v>0</v>
      </c>
      <c r="G38" s="162">
        <f t="shared" si="5"/>
        <v>32000</v>
      </c>
    </row>
    <row r="39" spans="1:7" x14ac:dyDescent="0.25">
      <c r="A39" t="str">
        <f t="shared" si="4"/>
        <v>Auto</v>
      </c>
      <c r="B39" s="155">
        <f>SUMIFS('Gastos julio'!$C$24:$C$99,'Gastos julio'!$F$24:$F$99,$A39,'Gastos julio'!$H$24:$H$99,"&gt;="&amp;B$5,'Gastos julio'!$H$24:$H$99,"&lt;="&amp;B$6)</f>
        <v>0</v>
      </c>
      <c r="C39" s="155">
        <f>SUMIFS('Gastos julio'!$C$24:$C$99,'Gastos julio'!$F$24:$F$99,$A39,'Gastos julio'!$H$24:$H$99,"&gt;="&amp;C$5,'Gastos julio'!$H$24:$H$99,"&lt;="&amp;C$6)</f>
        <v>0</v>
      </c>
      <c r="D39" s="155">
        <f>SUMIFS('Gastos julio'!$C$24:$C$99,'Gastos julio'!$F$24:$F$99,$A39,'Gastos julio'!$H$24:$H$99,"&gt;="&amp;D$5,'Gastos julio'!$H$24:$H$99,"&lt;="&amp;D$6)</f>
        <v>0</v>
      </c>
      <c r="E39" s="155">
        <f>SUMIFS('Gastos julio'!$C$24:$C$99,'Gastos julio'!$F$24:$F$99,$A39,'Gastos julio'!$H$24:$H$99,"&gt;="&amp;E$5,'Gastos julio'!$H$24:$H$99,"&lt;="&amp;E$6)</f>
        <v>0</v>
      </c>
      <c r="F39" s="155">
        <f>SUMIFS('Gastos julio'!$C$24:$C$99,'Gastos julio'!$F$24:$F$99,$A39,'Gastos julio'!$H$24:$H$99,"&gt;="&amp;F$5,'Gastos julio'!$H$24:$H$99,"&lt;="&amp;F$6)</f>
        <v>0</v>
      </c>
      <c r="G39" s="162">
        <f t="shared" si="5"/>
        <v>0</v>
      </c>
    </row>
    <row r="40" spans="1:7" x14ac:dyDescent="0.25">
      <c r="A40" t="str">
        <f t="shared" si="4"/>
        <v>Regalos</v>
      </c>
      <c r="B40" s="155">
        <f>SUMIFS('Gastos julio'!$C$24:$C$99,'Gastos julio'!$F$24:$F$99,$A40,'Gastos julio'!$H$24:$H$99,"&gt;="&amp;B$5,'Gastos julio'!$H$24:$H$99,"&lt;="&amp;B$6)</f>
        <v>0</v>
      </c>
      <c r="C40" s="155">
        <f>SUMIFS('Gastos julio'!$C$24:$C$99,'Gastos julio'!$F$24:$F$99,$A40,'Gastos julio'!$H$24:$H$99,"&gt;="&amp;C$5,'Gastos julio'!$H$24:$H$99,"&lt;="&amp;C$6)</f>
        <v>0</v>
      </c>
      <c r="D40" s="155">
        <f>SUMIFS('Gastos julio'!$C$24:$C$99,'Gastos julio'!$F$24:$F$99,$A40,'Gastos julio'!$H$24:$H$99,"&gt;="&amp;D$5,'Gastos julio'!$H$24:$H$99,"&lt;="&amp;D$6)</f>
        <v>0</v>
      </c>
      <c r="E40" s="155">
        <f>SUMIFS('Gastos julio'!$C$24:$C$99,'Gastos julio'!$F$24:$F$99,$A40,'Gastos julio'!$H$24:$H$99,"&gt;="&amp;E$5,'Gastos julio'!$H$24:$H$99,"&lt;="&amp;E$6)</f>
        <v>67500</v>
      </c>
      <c r="F40" s="155">
        <f>SUMIFS('Gastos julio'!$C$24:$C$99,'Gastos julio'!$F$24:$F$99,$A40,'Gastos julio'!$H$24:$H$99,"&gt;="&amp;F$5,'Gastos julio'!$H$24:$H$99,"&lt;="&amp;F$6)</f>
        <v>0</v>
      </c>
      <c r="G40" s="162">
        <f t="shared" si="5"/>
        <v>67500</v>
      </c>
    </row>
    <row r="41" spans="1:7" x14ac:dyDescent="0.25">
      <c r="A41" t="str">
        <f t="shared" si="4"/>
        <v>Psicóloga</v>
      </c>
      <c r="B41" s="155">
        <f>SUMIFS('Gastos julio'!$C$24:$C$99,'Gastos julio'!$F$24:$F$99,$A41,'Gastos julio'!$H$24:$H$99,"&gt;="&amp;B$5,'Gastos julio'!$H$24:$H$99,"&lt;="&amp;B$6)</f>
        <v>0</v>
      </c>
      <c r="C41" s="155">
        <f>SUMIFS('Gastos julio'!$C$24:$C$99,'Gastos julio'!$F$24:$F$99,$A41,'Gastos julio'!$H$24:$H$99,"&gt;="&amp;C$5,'Gastos julio'!$H$24:$H$99,"&lt;="&amp;C$6)</f>
        <v>0</v>
      </c>
      <c r="D41" s="155">
        <f>SUMIFS('Gastos julio'!$C$24:$C$99,'Gastos julio'!$F$24:$F$99,$A41,'Gastos julio'!$H$24:$H$99,"&gt;="&amp;D$5,'Gastos julio'!$H$24:$H$99,"&lt;="&amp;D$6)</f>
        <v>0</v>
      </c>
      <c r="E41" s="155">
        <f>SUMIFS('Gastos julio'!$C$24:$C$99,'Gastos julio'!$F$24:$F$99,$A41,'Gastos julio'!$H$24:$H$99,"&gt;="&amp;E$5,'Gastos julio'!$H$24:$H$99,"&lt;="&amp;E$6)</f>
        <v>0</v>
      </c>
      <c r="F41" s="155">
        <f>SUMIFS('Gastos julio'!$C$24:$C$99,'Gastos julio'!$F$24:$F$99,$A41,'Gastos julio'!$H$24:$H$99,"&gt;="&amp;F$5,'Gastos julio'!$H$24:$H$99,"&lt;="&amp;F$6)</f>
        <v>29790</v>
      </c>
      <c r="G41" s="162">
        <f t="shared" si="5"/>
        <v>29790</v>
      </c>
    </row>
    <row r="42" spans="1:7" x14ac:dyDescent="0.25">
      <c r="A42" t="str">
        <f t="shared" si="4"/>
        <v>Gimnasio</v>
      </c>
      <c r="B42" s="155">
        <f>SUMIFS('Gastos julio'!$C$24:$C$99,'Gastos julio'!$F$24:$F$99,$A42,'Gastos julio'!$H$24:$H$99,"&gt;="&amp;B$5,'Gastos julio'!$H$24:$H$99,"&lt;="&amp;B$6)</f>
        <v>0</v>
      </c>
      <c r="C42" s="155">
        <f>SUMIFS('Gastos julio'!$C$24:$C$99,'Gastos julio'!$F$24:$F$99,$A42,'Gastos julio'!$H$24:$H$99,"&gt;="&amp;C$5,'Gastos julio'!$H$24:$H$99,"&lt;="&amp;C$6)</f>
        <v>0</v>
      </c>
      <c r="D42" s="155">
        <f>SUMIFS('Gastos julio'!$C$24:$C$99,'Gastos julio'!$F$24:$F$99,$A42,'Gastos julio'!$H$24:$H$99,"&gt;="&amp;D$5,'Gastos julio'!$H$24:$H$99,"&lt;="&amp;D$6)</f>
        <v>0</v>
      </c>
      <c r="E42" s="155">
        <f>SUMIFS('Gastos julio'!$C$24:$C$99,'Gastos julio'!$F$24:$F$99,$A42,'Gastos julio'!$H$24:$H$99,"&gt;="&amp;E$5,'Gastos julio'!$H$24:$H$99,"&lt;="&amp;E$6)</f>
        <v>0</v>
      </c>
      <c r="F42" s="155">
        <f>SUMIFS('Gastos julio'!$C$24:$C$99,'Gastos julio'!$F$24:$F$99,$A42,'Gastos julio'!$H$24:$H$99,"&gt;="&amp;F$5,'Gastos julio'!$H$24:$H$99,"&lt;="&amp;F$6)</f>
        <v>0</v>
      </c>
      <c r="G42" s="162">
        <f t="shared" si="5"/>
        <v>0</v>
      </c>
    </row>
    <row r="43" spans="1:7" x14ac:dyDescent="0.25">
      <c r="A43" t="str">
        <f t="shared" si="4"/>
        <v>Farmacia/Cosméticos</v>
      </c>
      <c r="B43" s="155">
        <f>SUMIFS('Gastos julio'!$C$24:$C$99,'Gastos julio'!$F$24:$F$99,$A43,'Gastos julio'!$H$24:$H$99,"&gt;="&amp;B$5,'Gastos julio'!$H$24:$H$99,"&lt;="&amp;B$6)</f>
        <v>0</v>
      </c>
      <c r="C43" s="155">
        <f>SUMIFS('Gastos julio'!$C$24:$C$99,'Gastos julio'!$F$24:$F$99,$A43,'Gastos julio'!$H$24:$H$99,"&gt;="&amp;C$5,'Gastos julio'!$H$24:$H$99,"&lt;="&amp;C$6)</f>
        <v>0</v>
      </c>
      <c r="D43" s="155">
        <f>SUMIFS('Gastos julio'!$C$24:$C$99,'Gastos julio'!$F$24:$F$99,$A43,'Gastos julio'!$H$24:$H$99,"&gt;="&amp;D$5,'Gastos julio'!$H$24:$H$99,"&lt;="&amp;D$6)</f>
        <v>0</v>
      </c>
      <c r="E43" s="155">
        <f>SUMIFS('Gastos julio'!$C$24:$C$99,'Gastos julio'!$F$24:$F$99,$A43,'Gastos julio'!$H$24:$H$99,"&gt;="&amp;E$5,'Gastos julio'!$H$24:$H$99,"&lt;="&amp;E$6)</f>
        <v>1439.91</v>
      </c>
      <c r="F43" s="155">
        <f>SUMIFS('Gastos julio'!$C$24:$C$99,'Gastos julio'!$F$24:$F$99,$A43,'Gastos julio'!$H$24:$H$99,"&gt;="&amp;F$5,'Gastos julio'!$H$24:$H$99,"&lt;="&amp;F$6)</f>
        <v>0</v>
      </c>
      <c r="G43" s="162">
        <f t="shared" si="5"/>
        <v>1439.91</v>
      </c>
    </row>
    <row r="44" spans="1:7" x14ac:dyDescent="0.25">
      <c r="A44" t="str">
        <f t="shared" si="4"/>
        <v>Telas e insumos p costura</v>
      </c>
      <c r="B44" s="155">
        <f>SUMIFS('Gastos julio'!$C$24:$C$99,'Gastos julio'!$F$24:$F$99,$A44,'Gastos julio'!$H$24:$H$99,"&gt;="&amp;B$5,'Gastos julio'!$H$24:$H$99,"&lt;="&amp;B$6)</f>
        <v>0</v>
      </c>
      <c r="C44" s="155">
        <f>SUMIFS('Gastos julio'!$C$24:$C$99,'Gastos julio'!$F$24:$F$99,$A44,'Gastos julio'!$H$24:$H$99,"&gt;="&amp;C$5,'Gastos julio'!$H$24:$H$99,"&lt;="&amp;C$6)</f>
        <v>0</v>
      </c>
      <c r="D44" s="155">
        <f>SUMIFS('Gastos julio'!$C$24:$C$99,'Gastos julio'!$F$24:$F$99,$A44,'Gastos julio'!$H$24:$H$99,"&gt;="&amp;D$5,'Gastos julio'!$H$24:$H$99,"&lt;="&amp;D$6)</f>
        <v>0</v>
      </c>
      <c r="E44" s="155">
        <f>SUMIFS('Gastos julio'!$C$24:$C$99,'Gastos julio'!$F$24:$F$99,$A44,'Gastos julio'!$H$24:$H$99,"&gt;="&amp;E$5,'Gastos julio'!$H$24:$H$99,"&lt;="&amp;E$6)</f>
        <v>0</v>
      </c>
      <c r="F44" s="155">
        <f>SUMIFS('Gastos julio'!$C$24:$C$99,'Gastos julio'!$F$24:$F$99,$A44,'Gastos julio'!$H$24:$H$99,"&gt;="&amp;F$5,'Gastos julio'!$H$24:$H$99,"&lt;="&amp;F$6)</f>
        <v>0</v>
      </c>
      <c r="G44" s="162">
        <f t="shared" si="5"/>
        <v>0</v>
      </c>
    </row>
    <row r="45" spans="1:7" x14ac:dyDescent="0.25">
      <c r="A45" t="str">
        <f t="shared" si="4"/>
        <v>Pago monotributo</v>
      </c>
      <c r="B45" s="155">
        <f>SUMIFS('Gastos julio'!$C$24:$C$99,'Gastos julio'!$F$24:$F$99,$A45,'Gastos julio'!$H$24:$H$99,"&gt;="&amp;B$5,'Gastos julio'!$H$24:$H$99,"&lt;="&amp;B$6)</f>
        <v>0</v>
      </c>
      <c r="C45" s="155">
        <f>SUMIFS('Gastos julio'!$C$24:$C$99,'Gastos julio'!$F$24:$F$99,$A45,'Gastos julio'!$H$24:$H$99,"&gt;="&amp;C$5,'Gastos julio'!$H$24:$H$99,"&lt;="&amp;C$6)</f>
        <v>0</v>
      </c>
      <c r="D45" s="155">
        <f>SUMIFS('Gastos julio'!$C$24:$C$99,'Gastos julio'!$F$24:$F$99,$A45,'Gastos julio'!$H$24:$H$99,"&gt;="&amp;D$5,'Gastos julio'!$H$24:$H$99,"&lt;="&amp;D$6)</f>
        <v>0</v>
      </c>
      <c r="E45" s="155">
        <f>SUMIFS('Gastos julio'!$C$24:$C$99,'Gastos julio'!$F$24:$F$99,$A45,'Gastos julio'!$H$24:$H$99,"&gt;="&amp;E$5,'Gastos julio'!$H$24:$H$99,"&lt;="&amp;E$6)</f>
        <v>0</v>
      </c>
      <c r="F45" s="155">
        <f>SUMIFS('Gastos julio'!$C$24:$C$99,'Gastos julio'!$F$24:$F$99,$A45,'Gastos julio'!$H$24:$H$99,"&gt;="&amp;F$5,'Gastos julio'!$H$24:$H$99,"&lt;="&amp;F$6)</f>
        <v>0</v>
      </c>
      <c r="G45" s="162">
        <f t="shared" si="5"/>
        <v>0</v>
      </c>
    </row>
    <row r="46" spans="1:7" x14ac:dyDescent="0.25">
      <c r="A46" t="str">
        <f t="shared" si="4"/>
        <v>Transferencias Jo</v>
      </c>
      <c r="B46" s="155">
        <f>SUMIFS('Gastos julio'!$C$24:$C$99,'Gastos julio'!$F$24:$F$99,$A46,'Gastos julio'!$H$24:$H$99,"&gt;="&amp;B$5,'Gastos julio'!$H$24:$H$99,"&lt;="&amp;B$6)</f>
        <v>0</v>
      </c>
      <c r="C46" s="155">
        <f>SUMIFS('Gastos julio'!$C$24:$C$99,'Gastos julio'!$F$24:$F$99,$A46,'Gastos julio'!$H$24:$H$99,"&gt;="&amp;C$5,'Gastos julio'!$H$24:$H$99,"&lt;="&amp;C$6)</f>
        <v>0</v>
      </c>
      <c r="D46" s="155">
        <f>SUMIFS('Gastos julio'!$C$24:$C$99,'Gastos julio'!$F$24:$F$99,$A46,'Gastos julio'!$H$24:$H$99,"&gt;="&amp;D$5,'Gastos julio'!$H$24:$H$99,"&lt;="&amp;D$6)</f>
        <v>0</v>
      </c>
      <c r="E46" s="155">
        <f>SUMIFS('Gastos julio'!$C$24:$C$99,'Gastos julio'!$F$24:$F$99,$A46,'Gastos julio'!$H$24:$H$99,"&gt;="&amp;E$5,'Gastos julio'!$H$24:$H$99,"&lt;="&amp;E$6)</f>
        <v>0</v>
      </c>
      <c r="F46" s="155">
        <f>SUMIFS('Gastos julio'!$C$24:$C$99,'Gastos julio'!$F$24:$F$99,$A46,'Gastos julio'!$H$24:$H$99,"&gt;="&amp;F$5,'Gastos julio'!$H$24:$H$99,"&lt;="&amp;F$6)</f>
        <v>0</v>
      </c>
      <c r="G46" s="162">
        <f t="shared" si="5"/>
        <v>0</v>
      </c>
    </row>
    <row r="47" spans="1:7" x14ac:dyDescent="0.25">
      <c r="A47" s="159" t="s">
        <v>344</v>
      </c>
      <c r="B47" s="160">
        <f t="shared" ref="B47:G47" si="6">SUM(B35:B46)</f>
        <v>37200</v>
      </c>
      <c r="C47" s="160">
        <f t="shared" si="6"/>
        <v>133000</v>
      </c>
      <c r="D47" s="160">
        <f t="shared" si="6"/>
        <v>57050</v>
      </c>
      <c r="E47" s="160">
        <f t="shared" si="6"/>
        <v>100939.91</v>
      </c>
      <c r="F47" s="160">
        <f t="shared" si="6"/>
        <v>29790</v>
      </c>
      <c r="G47" s="163">
        <f t="shared" si="6"/>
        <v>357979.91</v>
      </c>
    </row>
    <row r="50" spans="1:7" x14ac:dyDescent="0.25">
      <c r="A50" s="11" t="s">
        <v>345</v>
      </c>
    </row>
    <row r="51" spans="1:7" x14ac:dyDescent="0.25">
      <c r="A51" s="168" t="s">
        <v>123</v>
      </c>
      <c r="B51" s="149" t="s">
        <v>329</v>
      </c>
      <c r="C51" s="149" t="s">
        <v>330</v>
      </c>
      <c r="D51" s="149" t="s">
        <v>331</v>
      </c>
      <c r="E51" s="149" t="s">
        <v>332</v>
      </c>
      <c r="F51" s="149" t="s">
        <v>333</v>
      </c>
      <c r="G51" s="161" t="s">
        <v>334</v>
      </c>
    </row>
    <row r="52" spans="1:7" x14ac:dyDescent="0.25">
      <c r="A52" t="str">
        <f t="shared" ref="A52:A63" si="7">$A7</f>
        <v>Delivery</v>
      </c>
      <c r="B52" s="155">
        <f t="shared" ref="B52:F63" si="8">B7-B35</f>
        <v>30559</v>
      </c>
      <c r="C52" s="155">
        <f t="shared" si="8"/>
        <v>7615</v>
      </c>
      <c r="D52" s="155">
        <f t="shared" si="8"/>
        <v>6883.6</v>
      </c>
      <c r="E52" s="155">
        <f t="shared" si="8"/>
        <v>26500</v>
      </c>
      <c r="F52" s="155">
        <f t="shared" si="8"/>
        <v>0</v>
      </c>
      <c r="G52" s="162">
        <f t="shared" ref="G52:G63" si="9">SUM(B52:F52)</f>
        <v>71557.600000000006</v>
      </c>
    </row>
    <row r="53" spans="1:7" x14ac:dyDescent="0.25">
      <c r="A53" t="str">
        <f t="shared" si="7"/>
        <v>Salidas a cenar/almorzar</v>
      </c>
      <c r="B53" s="155">
        <f t="shared" si="8"/>
        <v>0</v>
      </c>
      <c r="C53" s="155">
        <f t="shared" si="8"/>
        <v>0</v>
      </c>
      <c r="D53" s="155">
        <f t="shared" si="8"/>
        <v>92230</v>
      </c>
      <c r="E53" s="155">
        <f t="shared" si="8"/>
        <v>34100</v>
      </c>
      <c r="F53" s="155">
        <f t="shared" si="8"/>
        <v>13600</v>
      </c>
      <c r="G53" s="162">
        <f t="shared" si="9"/>
        <v>139930</v>
      </c>
    </row>
    <row r="54" spans="1:7" x14ac:dyDescent="0.25">
      <c r="A54" t="str">
        <f t="shared" si="7"/>
        <v>Salidas a desyunar/merendar</v>
      </c>
      <c r="B54" s="155">
        <f t="shared" si="8"/>
        <v>54100</v>
      </c>
      <c r="C54" s="155">
        <f t="shared" si="8"/>
        <v>0</v>
      </c>
      <c r="D54" s="155">
        <f t="shared" si="8"/>
        <v>26400</v>
      </c>
      <c r="E54" s="155">
        <f t="shared" si="8"/>
        <v>30300</v>
      </c>
      <c r="F54" s="155">
        <f t="shared" si="8"/>
        <v>0</v>
      </c>
      <c r="G54" s="162">
        <f t="shared" si="9"/>
        <v>110800</v>
      </c>
    </row>
    <row r="55" spans="1:7" x14ac:dyDescent="0.25">
      <c r="A55" t="str">
        <f t="shared" si="7"/>
        <v>Salidas a tomar algo</v>
      </c>
      <c r="B55" s="155">
        <f t="shared" si="8"/>
        <v>0</v>
      </c>
      <c r="C55" s="155">
        <f t="shared" si="8"/>
        <v>0</v>
      </c>
      <c r="D55" s="155">
        <f t="shared" si="8"/>
        <v>0</v>
      </c>
      <c r="E55" s="155">
        <f t="shared" si="8"/>
        <v>33000</v>
      </c>
      <c r="F55" s="155">
        <f t="shared" si="8"/>
        <v>0</v>
      </c>
      <c r="G55" s="162">
        <f t="shared" si="9"/>
        <v>33000</v>
      </c>
    </row>
    <row r="56" spans="1:7" x14ac:dyDescent="0.25">
      <c r="A56" t="str">
        <f t="shared" si="7"/>
        <v>Auto</v>
      </c>
      <c r="B56" s="155">
        <f t="shared" si="8"/>
        <v>23600</v>
      </c>
      <c r="C56" s="155">
        <f t="shared" si="8"/>
        <v>0</v>
      </c>
      <c r="D56" s="155">
        <f t="shared" si="8"/>
        <v>2000</v>
      </c>
      <c r="E56" s="155">
        <f t="shared" si="8"/>
        <v>4000</v>
      </c>
      <c r="F56" s="155">
        <f t="shared" si="8"/>
        <v>5000</v>
      </c>
      <c r="G56" s="162">
        <f t="shared" si="9"/>
        <v>34600</v>
      </c>
    </row>
    <row r="57" spans="1:7" x14ac:dyDescent="0.25">
      <c r="A57" t="str">
        <f t="shared" si="7"/>
        <v>Regalos</v>
      </c>
      <c r="B57" s="155">
        <f t="shared" si="8"/>
        <v>1300</v>
      </c>
      <c r="C57" s="155">
        <f t="shared" si="8"/>
        <v>0</v>
      </c>
      <c r="D57" s="155">
        <f t="shared" si="8"/>
        <v>0</v>
      </c>
      <c r="E57" s="155">
        <f>E12-E40</f>
        <v>-54500</v>
      </c>
      <c r="F57" s="155">
        <f t="shared" si="8"/>
        <v>0</v>
      </c>
      <c r="G57" s="162">
        <f t="shared" si="9"/>
        <v>-53200</v>
      </c>
    </row>
    <row r="58" spans="1:7" x14ac:dyDescent="0.25">
      <c r="A58" t="str">
        <f t="shared" si="7"/>
        <v>Psicóloga</v>
      </c>
      <c r="B58" s="155">
        <f t="shared" si="8"/>
        <v>0</v>
      </c>
      <c r="C58" s="155">
        <f t="shared" si="8"/>
        <v>40000</v>
      </c>
      <c r="D58" s="155">
        <f t="shared" si="8"/>
        <v>0</v>
      </c>
      <c r="E58" s="155">
        <f t="shared" si="8"/>
        <v>45000</v>
      </c>
      <c r="F58" s="155">
        <f t="shared" si="8"/>
        <v>-29790</v>
      </c>
      <c r="G58" s="162">
        <f t="shared" si="9"/>
        <v>55210</v>
      </c>
    </row>
    <row r="59" spans="1:7" x14ac:dyDescent="0.25">
      <c r="A59" t="str">
        <f t="shared" si="7"/>
        <v>Gimnasio</v>
      </c>
      <c r="B59" s="155">
        <f t="shared" si="8"/>
        <v>0</v>
      </c>
      <c r="C59" s="155">
        <f t="shared" si="8"/>
        <v>53000</v>
      </c>
      <c r="D59" s="155">
        <f t="shared" si="8"/>
        <v>0</v>
      </c>
      <c r="E59" s="155">
        <f t="shared" si="8"/>
        <v>0</v>
      </c>
      <c r="F59" s="155">
        <f t="shared" si="8"/>
        <v>53000</v>
      </c>
      <c r="G59" s="162">
        <f t="shared" si="9"/>
        <v>106000</v>
      </c>
    </row>
    <row r="60" spans="1:7" x14ac:dyDescent="0.25">
      <c r="A60" t="str">
        <f t="shared" si="7"/>
        <v>Farmacia/Cosméticos</v>
      </c>
      <c r="B60" s="155">
        <f t="shared" si="8"/>
        <v>0</v>
      </c>
      <c r="C60" s="155">
        <f t="shared" si="8"/>
        <v>0</v>
      </c>
      <c r="D60" s="155">
        <f t="shared" si="8"/>
        <v>0</v>
      </c>
      <c r="E60" s="155">
        <f t="shared" si="8"/>
        <v>8159.49</v>
      </c>
      <c r="F60" s="155">
        <f t="shared" si="8"/>
        <v>25693</v>
      </c>
      <c r="G60" s="162">
        <f t="shared" si="9"/>
        <v>33852.49</v>
      </c>
    </row>
    <row r="61" spans="1:7" x14ac:dyDescent="0.25">
      <c r="A61" t="str">
        <f t="shared" si="7"/>
        <v>Telas e insumos p costura</v>
      </c>
      <c r="B61" s="155">
        <f t="shared" si="8"/>
        <v>0</v>
      </c>
      <c r="C61" s="155">
        <f t="shared" si="8"/>
        <v>0</v>
      </c>
      <c r="D61" s="155">
        <f t="shared" si="8"/>
        <v>0</v>
      </c>
      <c r="E61" s="155">
        <f t="shared" si="8"/>
        <v>32980</v>
      </c>
      <c r="F61" s="155">
        <f t="shared" si="8"/>
        <v>0</v>
      </c>
      <c r="G61" s="162">
        <f t="shared" si="9"/>
        <v>32980</v>
      </c>
    </row>
    <row r="62" spans="1:7" x14ac:dyDescent="0.25">
      <c r="A62" t="str">
        <f t="shared" si="7"/>
        <v>Pago monotributo</v>
      </c>
      <c r="B62" s="155">
        <f t="shared" si="8"/>
        <v>0</v>
      </c>
      <c r="C62" s="155">
        <f t="shared" si="8"/>
        <v>0</v>
      </c>
      <c r="D62" s="155">
        <f t="shared" si="8"/>
        <v>0</v>
      </c>
      <c r="E62" s="155">
        <f t="shared" si="8"/>
        <v>42386.74</v>
      </c>
      <c r="F62" s="155">
        <f t="shared" si="8"/>
        <v>0</v>
      </c>
      <c r="G62" s="162">
        <f t="shared" si="9"/>
        <v>42386.74</v>
      </c>
    </row>
    <row r="63" spans="1:7" x14ac:dyDescent="0.25">
      <c r="A63" t="str">
        <f t="shared" si="7"/>
        <v>Transferencias Jo</v>
      </c>
      <c r="B63" s="155">
        <f t="shared" si="8"/>
        <v>0</v>
      </c>
      <c r="C63" s="155">
        <f t="shared" si="8"/>
        <v>0</v>
      </c>
      <c r="D63" s="155">
        <f t="shared" si="8"/>
        <v>0</v>
      </c>
      <c r="E63" s="155">
        <f t="shared" si="8"/>
        <v>0</v>
      </c>
      <c r="F63" s="155">
        <f t="shared" si="8"/>
        <v>25000</v>
      </c>
      <c r="G63" s="162">
        <f t="shared" si="9"/>
        <v>25000</v>
      </c>
    </row>
    <row r="64" spans="1:7" x14ac:dyDescent="0.25">
      <c r="A64" s="169" t="s">
        <v>346</v>
      </c>
      <c r="B64" s="170">
        <f t="shared" ref="B64:G64" si="10">SUM(B52:B63)</f>
        <v>109559</v>
      </c>
      <c r="C64" s="170">
        <f t="shared" si="10"/>
        <v>100615</v>
      </c>
      <c r="D64" s="170">
        <f t="shared" si="10"/>
        <v>127513.60000000001</v>
      </c>
      <c r="E64" s="170">
        <f t="shared" si="10"/>
        <v>201926.22999999998</v>
      </c>
      <c r="F64" s="170">
        <f t="shared" si="10"/>
        <v>92503</v>
      </c>
      <c r="G64" s="171">
        <f t="shared" si="10"/>
        <v>632116.82999999996</v>
      </c>
    </row>
    <row r="66" spans="1:1" x14ac:dyDescent="0.25">
      <c r="A66" s="154" t="s">
        <v>348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98BC-7A8D-4E2A-A24F-4178602ABA30}">
  <dimension ref="A1:G71"/>
  <sheetViews>
    <sheetView topLeftCell="A16" workbookViewId="0">
      <pane xSplit="1" topLeftCell="B1" activePane="topRight" state="frozen"/>
      <selection pane="topRight" activeCell="G56" sqref="G56"/>
    </sheetView>
  </sheetViews>
  <sheetFormatPr baseColWidth="10" defaultRowHeight="15" x14ac:dyDescent="0.25"/>
  <cols>
    <col min="1" max="1" width="36.140625" customWidth="1"/>
    <col min="2" max="7" width="18.140625" customWidth="1"/>
  </cols>
  <sheetData>
    <row r="1" spans="1:7" ht="18.75" x14ac:dyDescent="0.3">
      <c r="A1" s="147" t="s">
        <v>349</v>
      </c>
    </row>
    <row r="2" spans="1:7" x14ac:dyDescent="0.25">
      <c r="A2" s="148" t="s">
        <v>350</v>
      </c>
    </row>
    <row r="4" spans="1:7" x14ac:dyDescent="0.25">
      <c r="A4" s="172" t="s">
        <v>123</v>
      </c>
      <c r="B4" s="166" t="s">
        <v>329</v>
      </c>
      <c r="C4" s="166" t="s">
        <v>330</v>
      </c>
      <c r="D4" s="166" t="s">
        <v>331</v>
      </c>
      <c r="E4" s="166" t="s">
        <v>332</v>
      </c>
      <c r="F4" s="166" t="s">
        <v>333</v>
      </c>
      <c r="G4" s="167" t="s">
        <v>334</v>
      </c>
    </row>
    <row r="5" spans="1:7" x14ac:dyDescent="0.25">
      <c r="A5" s="150" t="s">
        <v>335</v>
      </c>
      <c r="B5" s="151">
        <v>46235</v>
      </c>
      <c r="C5" s="151">
        <v>46237</v>
      </c>
      <c r="D5" s="151">
        <v>46244</v>
      </c>
      <c r="E5" s="151">
        <v>46251</v>
      </c>
      <c r="F5" s="151">
        <v>46258</v>
      </c>
      <c r="G5" s="120"/>
    </row>
    <row r="6" spans="1:7" x14ac:dyDescent="0.25">
      <c r="A6" s="150" t="s">
        <v>336</v>
      </c>
      <c r="B6" s="151">
        <v>46236</v>
      </c>
      <c r="C6" s="151">
        <v>46243</v>
      </c>
      <c r="D6" s="151">
        <v>46250</v>
      </c>
      <c r="E6" s="151">
        <v>46257</v>
      </c>
      <c r="F6" s="151">
        <v>46265</v>
      </c>
      <c r="G6" s="120"/>
    </row>
    <row r="7" spans="1:7" x14ac:dyDescent="0.25">
      <c r="A7" t="s">
        <v>151</v>
      </c>
      <c r="B7" s="155">
        <f>-SUMIFS('Gastos agosto'!$D$24:$D$110,'Gastos agosto'!$F$24:$F$110,$A7,'Gastos agosto'!$H$24:$H$110,"&gt;="&amp;B$5,'Gastos agosto'!$H$24:$H$110,"&lt;="&amp;B$6)</f>
        <v>45000</v>
      </c>
      <c r="C7" s="155">
        <f>-SUMIFS('Gastos agosto'!$D$24:$D$110,'Gastos agosto'!$F$24:$F$110,$A7,'Gastos agosto'!$H$24:$H$110,"&gt;="&amp;C$5,'Gastos agosto'!$H$24:$H$110,"&lt;="&amp;C$6)</f>
        <v>159950.74</v>
      </c>
      <c r="D7" s="155">
        <f>-SUMIFS('Gastos agosto'!$D$24:$D$110,'Gastos agosto'!$F$24:$F$110,$A7,'Gastos agosto'!$H$24:$H$110,"&gt;="&amp;D$5,'Gastos agosto'!$H$24:$H$110,"&lt;="&amp;D$6)</f>
        <v>66180</v>
      </c>
      <c r="E7" s="155">
        <f>-SUMIFS('Gastos agosto'!$D$24:$D$110,'Gastos agosto'!$F$24:$F$110,$A7,'Gastos agosto'!$H$24:$H$110,"&gt;="&amp;E$5,'Gastos agosto'!$H$24:$H$110,"&lt;="&amp;E$6)</f>
        <v>5000</v>
      </c>
      <c r="F7" s="155">
        <f>-SUMIFS('Gastos agosto'!$D$24:$D$110,'Gastos agosto'!$F$24:$F$110,$A7,'Gastos agosto'!$H$24:$H$110,"&gt;="&amp;F$5,'Gastos agosto'!$H$24:$H$110,"&lt;="&amp;F$6)</f>
        <v>0</v>
      </c>
      <c r="G7" s="162">
        <f t="shared" ref="G7:G19" si="0">SUM(B7:F7)</f>
        <v>276130.74</v>
      </c>
    </row>
    <row r="8" spans="1:7" x14ac:dyDescent="0.25">
      <c r="A8" t="s">
        <v>296</v>
      </c>
      <c r="B8" s="155">
        <f>-SUMIFS('Gastos agosto'!$D$24:$D$110,'Gastos agosto'!$F$24:$F$110,$A8,'Gastos agosto'!$H$24:$H$110,"&gt;="&amp;B$5,'Gastos agosto'!$H$24:$H$110,"&lt;="&amp;B$6)</f>
        <v>0</v>
      </c>
      <c r="C8" s="155">
        <f>-SUMIFS('Gastos agosto'!$D$24:$D$110,'Gastos agosto'!$F$24:$F$110,$A8,'Gastos agosto'!$H$24:$H$110,"&gt;="&amp;C$5,'Gastos agosto'!$H$24:$H$110,"&lt;="&amp;C$6)</f>
        <v>0</v>
      </c>
      <c r="D8" s="155">
        <f>-SUMIFS('Gastos agosto'!$D$24:$D$110,'Gastos agosto'!$F$24:$F$110,$A8,'Gastos agosto'!$H$24:$H$110,"&gt;="&amp;D$5,'Gastos agosto'!$H$24:$H$110,"&lt;="&amp;D$6)</f>
        <v>168094.27</v>
      </c>
      <c r="E8" s="155">
        <f>-SUMIFS('Gastos agosto'!$D$24:$D$110,'Gastos agosto'!$F$24:$F$110,$A8,'Gastos agosto'!$H$24:$H$110,"&gt;="&amp;E$5,'Gastos agosto'!$H$24:$H$110,"&lt;="&amp;E$6)</f>
        <v>60070</v>
      </c>
      <c r="F8" s="155">
        <f>-SUMIFS('Gastos agosto'!$D$24:$D$110,'Gastos agosto'!$F$24:$F$110,$A8,'Gastos agosto'!$H$24:$H$110,"&gt;="&amp;F$5,'Gastos agosto'!$H$24:$H$110,"&lt;="&amp;F$6)</f>
        <v>33100</v>
      </c>
      <c r="G8" s="162">
        <f t="shared" si="0"/>
        <v>261264.27</v>
      </c>
    </row>
    <row r="9" spans="1:7" x14ac:dyDescent="0.25">
      <c r="A9" t="s">
        <v>152</v>
      </c>
      <c r="B9" s="155">
        <f>-SUMIFS('Gastos agosto'!$D$24:$D$110,'Gastos agosto'!$F$24:$F$110,$A9,'Gastos agosto'!$H$24:$H$110,"&gt;="&amp;B$5,'Gastos agosto'!$H$24:$H$110,"&lt;="&amp;B$6)</f>
        <v>10000</v>
      </c>
      <c r="C9" s="155">
        <f>-SUMIFS('Gastos agosto'!$D$24:$D$110,'Gastos agosto'!$F$24:$F$110,$A9,'Gastos agosto'!$H$24:$H$110,"&gt;="&amp;C$5,'Gastos agosto'!$H$24:$H$110,"&lt;="&amp;C$6)</f>
        <v>0</v>
      </c>
      <c r="D9" s="155">
        <f>-SUMIFS('Gastos agosto'!$D$24:$D$110,'Gastos agosto'!$F$24:$F$110,$A9,'Gastos agosto'!$H$24:$H$110,"&gt;="&amp;D$5,'Gastos agosto'!$H$24:$H$110,"&lt;="&amp;D$6)</f>
        <v>0</v>
      </c>
      <c r="E9" s="155">
        <f>-SUMIFS('Gastos agosto'!$D$24:$D$110,'Gastos agosto'!$F$24:$F$110,$A9,'Gastos agosto'!$H$24:$H$110,"&gt;="&amp;E$5,'Gastos agosto'!$H$24:$H$110,"&lt;="&amp;E$6)</f>
        <v>8400</v>
      </c>
      <c r="F9" s="155">
        <f>-SUMIFS('Gastos agosto'!$D$24:$D$110,'Gastos agosto'!$F$24:$F$110,$A9,'Gastos agosto'!$H$24:$H$110,"&gt;="&amp;F$5,'Gastos agosto'!$H$24:$H$110,"&lt;="&amp;F$6)</f>
        <v>6700</v>
      </c>
      <c r="G9" s="162">
        <f t="shared" si="0"/>
        <v>25100</v>
      </c>
    </row>
    <row r="10" spans="1:7" x14ac:dyDescent="0.25">
      <c r="A10" t="s">
        <v>153</v>
      </c>
      <c r="B10" s="155">
        <f>-SUMIFS('Gastos agosto'!$D$24:$D$110,'Gastos agosto'!$F$24:$F$110,$A10,'Gastos agosto'!$H$24:$H$110,"&gt;="&amp;B$5,'Gastos agosto'!$H$24:$H$110,"&lt;="&amp;B$6)</f>
        <v>61200</v>
      </c>
      <c r="C10" s="155">
        <f>-SUMIFS('Gastos agosto'!$D$24:$D$110,'Gastos agosto'!$F$24:$F$110,$A10,'Gastos agosto'!$H$24:$H$110,"&gt;="&amp;C$5,'Gastos agosto'!$H$24:$H$110,"&lt;="&amp;C$6)</f>
        <v>0</v>
      </c>
      <c r="D10" s="155">
        <f>-SUMIFS('Gastos agosto'!$D$24:$D$110,'Gastos agosto'!$F$24:$F$110,$A10,'Gastos agosto'!$H$24:$H$110,"&gt;="&amp;D$5,'Gastos agosto'!$H$24:$H$110,"&lt;="&amp;D$6)</f>
        <v>13500</v>
      </c>
      <c r="E10" s="155">
        <f>-SUMIFS('Gastos agosto'!$D$24:$D$110,'Gastos agosto'!$F$24:$F$110,$A10,'Gastos agosto'!$H$24:$H$110,"&gt;="&amp;E$5,'Gastos agosto'!$H$24:$H$110,"&lt;="&amp;E$6)</f>
        <v>22000</v>
      </c>
      <c r="F10" s="155">
        <f>-SUMIFS('Gastos agosto'!$D$24:$D$110,'Gastos agosto'!$F$24:$F$110,$A10,'Gastos agosto'!$H$24:$H$110,"&gt;="&amp;F$5,'Gastos agosto'!$H$24:$H$110,"&lt;="&amp;F$6)</f>
        <v>0</v>
      </c>
      <c r="G10" s="162">
        <f t="shared" si="0"/>
        <v>96700</v>
      </c>
    </row>
    <row r="11" spans="1:7" x14ac:dyDescent="0.25">
      <c r="A11" t="s">
        <v>141</v>
      </c>
      <c r="B11" s="155">
        <f>-SUMIFS('Gastos agosto'!$D$24:$D$110,'Gastos agosto'!$F$24:$F$110,$A11,'Gastos agosto'!$H$24:$H$110,"&gt;="&amp;B$5,'Gastos agosto'!$H$24:$H$110,"&lt;="&amp;B$6)</f>
        <v>0</v>
      </c>
      <c r="C11" s="155">
        <f>-SUMIFS('Gastos agosto'!$D$24:$D$110,'Gastos agosto'!$F$24:$F$110,$A11,'Gastos agosto'!$H$24:$H$110,"&gt;="&amp;C$5,'Gastos agosto'!$H$24:$H$110,"&lt;="&amp;C$6)</f>
        <v>37500</v>
      </c>
      <c r="D11" s="155">
        <f>-SUMIFS('Gastos agosto'!$D$24:$D$110,'Gastos agosto'!$F$24:$F$110,$A11,'Gastos agosto'!$H$24:$H$110,"&gt;="&amp;D$5,'Gastos agosto'!$H$24:$H$110,"&lt;="&amp;D$6)</f>
        <v>0</v>
      </c>
      <c r="E11" s="155">
        <f>-SUMIFS('Gastos agosto'!$D$24:$D$110,'Gastos agosto'!$F$24:$F$110,$A11,'Gastos agosto'!$H$24:$H$110,"&gt;="&amp;E$5,'Gastos agosto'!$H$24:$H$110,"&lt;="&amp;E$6)</f>
        <v>0</v>
      </c>
      <c r="F11" s="155">
        <f>-SUMIFS('Gastos agosto'!$D$24:$D$110,'Gastos agosto'!$F$24:$F$110,$A11,'Gastos agosto'!$H$24:$H$110,"&gt;="&amp;F$5,'Gastos agosto'!$H$24:$H$110,"&lt;="&amp;F$6)</f>
        <v>0</v>
      </c>
      <c r="G11" s="162">
        <f t="shared" si="0"/>
        <v>37500</v>
      </c>
    </row>
    <row r="12" spans="1:7" x14ac:dyDescent="0.25">
      <c r="A12" t="s">
        <v>137</v>
      </c>
      <c r="B12" s="155">
        <f>-SUMIFS('Gastos agosto'!$D$24:$D$110,'Gastos agosto'!$F$24:$F$110,$A12,'Gastos agosto'!$H$24:$H$110,"&gt;="&amp;B$5,'Gastos agosto'!$H$24:$H$110,"&lt;="&amp;B$6)</f>
        <v>50000</v>
      </c>
      <c r="C12" s="155">
        <f>-SUMIFS('Gastos agosto'!$D$24:$D$110,'Gastos agosto'!$F$24:$F$110,$A12,'Gastos agosto'!$H$24:$H$110,"&gt;="&amp;C$5,'Gastos agosto'!$H$24:$H$110,"&lt;="&amp;C$6)</f>
        <v>20000</v>
      </c>
      <c r="D12" s="155">
        <f>-SUMIFS('Gastos agosto'!$D$24:$D$110,'Gastos agosto'!$F$24:$F$110,$A12,'Gastos agosto'!$H$24:$H$110,"&gt;="&amp;D$5,'Gastos agosto'!$H$24:$H$110,"&lt;="&amp;D$6)</f>
        <v>50000</v>
      </c>
      <c r="E12" s="155">
        <f>-SUMIFS('Gastos agosto'!$D$24:$D$110,'Gastos agosto'!$F$24:$F$110,$A12,'Gastos agosto'!$H$24:$H$110,"&gt;="&amp;E$5,'Gastos agosto'!$H$24:$H$110,"&lt;="&amp;E$6)</f>
        <v>25000</v>
      </c>
      <c r="F12" s="155">
        <f>-SUMIFS('Gastos agosto'!$D$24:$D$110,'Gastos agosto'!$F$24:$F$110,$A12,'Gastos agosto'!$H$24:$H$110,"&gt;="&amp;F$5,'Gastos agosto'!$H$24:$H$110,"&lt;="&amp;F$6)</f>
        <v>0</v>
      </c>
      <c r="G12" s="162">
        <f t="shared" si="0"/>
        <v>145000</v>
      </c>
    </row>
    <row r="13" spans="1:7" x14ac:dyDescent="0.25">
      <c r="A13" t="s">
        <v>149</v>
      </c>
      <c r="B13" s="155">
        <f>-SUMIFS('Gastos agosto'!$D$24:$D$110,'Gastos agosto'!$F$24:$F$110,$A13,'Gastos agosto'!$H$24:$H$110,"&gt;="&amp;B$5,'Gastos agosto'!$H$24:$H$110,"&lt;="&amp;B$6)</f>
        <v>0</v>
      </c>
      <c r="C13" s="155">
        <f>-SUMIFS('Gastos agosto'!$D$24:$D$110,'Gastos agosto'!$F$24:$F$110,$A13,'Gastos agosto'!$H$24:$H$110,"&gt;="&amp;C$5,'Gastos agosto'!$H$24:$H$110,"&lt;="&amp;C$6)</f>
        <v>0</v>
      </c>
      <c r="D13" s="155">
        <f>-SUMIFS('Gastos agosto'!$D$24:$D$110,'Gastos agosto'!$F$24:$F$110,$A13,'Gastos agosto'!$H$24:$H$110,"&gt;="&amp;D$5,'Gastos agosto'!$H$24:$H$110,"&lt;="&amp;D$6)</f>
        <v>0</v>
      </c>
      <c r="E13" s="155">
        <f>-SUMIFS('Gastos agosto'!$D$24:$D$110,'Gastos agosto'!$F$24:$F$110,$A13,'Gastos agosto'!$H$24:$H$110,"&gt;="&amp;E$5,'Gastos agosto'!$H$24:$H$110,"&lt;="&amp;E$6)</f>
        <v>399950</v>
      </c>
      <c r="F13" s="155">
        <f>-SUMIFS('Gastos agosto'!$D$24:$D$110,'Gastos agosto'!$F$24:$F$110,$A13,'Gastos agosto'!$H$24:$H$110,"&gt;="&amp;F$5,'Gastos agosto'!$H$24:$H$110,"&lt;="&amp;F$6)</f>
        <v>0</v>
      </c>
      <c r="G13" s="162">
        <f t="shared" si="0"/>
        <v>399950</v>
      </c>
    </row>
    <row r="14" spans="1:7" x14ac:dyDescent="0.25">
      <c r="A14" t="s">
        <v>154</v>
      </c>
      <c r="B14" s="155">
        <f>-SUMIFS('Gastos agosto'!$D$24:$D$110,'Gastos agosto'!$F$24:$F$110,$A14,'Gastos agosto'!$H$24:$H$110,"&gt;="&amp;B$5,'Gastos agosto'!$H$24:$H$110,"&lt;="&amp;B$6)</f>
        <v>0</v>
      </c>
      <c r="C14" s="155">
        <f>-SUMIFS('Gastos agosto'!$D$24:$D$110,'Gastos agosto'!$F$24:$F$110,$A14,'Gastos agosto'!$H$24:$H$110,"&gt;="&amp;C$5,'Gastos agosto'!$H$24:$H$110,"&lt;="&amp;C$6)</f>
        <v>0</v>
      </c>
      <c r="D14" s="155">
        <f>-SUMIFS('Gastos agosto'!$D$24:$D$110,'Gastos agosto'!$F$24:$F$110,$A14,'Gastos agosto'!$H$24:$H$110,"&gt;="&amp;D$5,'Gastos agosto'!$H$24:$H$110,"&lt;="&amp;D$6)</f>
        <v>0</v>
      </c>
      <c r="E14" s="155">
        <f>-SUMIFS('Gastos agosto'!$D$24:$D$110,'Gastos agosto'!$F$24:$F$110,$A14,'Gastos agosto'!$H$24:$H$110,"&gt;="&amp;E$5,'Gastos agosto'!$H$24:$H$110,"&lt;="&amp;E$6)</f>
        <v>24600</v>
      </c>
      <c r="F14" s="155">
        <f>-SUMIFS('Gastos agosto'!$D$24:$D$110,'Gastos agosto'!$F$24:$F$110,$A14,'Gastos agosto'!$H$24:$H$110,"&gt;="&amp;F$5,'Gastos agosto'!$H$24:$H$110,"&lt;="&amp;F$6)</f>
        <v>0</v>
      </c>
      <c r="G14" s="162">
        <f t="shared" si="0"/>
        <v>24600</v>
      </c>
    </row>
    <row r="15" spans="1:7" x14ac:dyDescent="0.25">
      <c r="A15" t="s">
        <v>202</v>
      </c>
      <c r="B15" s="155">
        <f>-SUMIFS('Gastos agosto'!$D$24:$D$110,'Gastos agosto'!$F$24:$F$110,$A15,'Gastos agosto'!$H$24:$H$110,"&gt;="&amp;B$5,'Gastos agosto'!$H$24:$H$110,"&lt;="&amp;B$6)</f>
        <v>0</v>
      </c>
      <c r="C15" s="155">
        <f>-SUMIFS('Gastos agosto'!$D$24:$D$110,'Gastos agosto'!$F$24:$F$110,$A15,'Gastos agosto'!$H$24:$H$110,"&gt;="&amp;C$5,'Gastos agosto'!$H$24:$H$110,"&lt;="&amp;C$6)</f>
        <v>45000</v>
      </c>
      <c r="D15" s="155">
        <f>-SUMIFS('Gastos agosto'!$D$24:$D$110,'Gastos agosto'!$F$24:$F$110,$A15,'Gastos agosto'!$H$24:$H$110,"&gt;="&amp;D$5,'Gastos agosto'!$H$24:$H$110,"&lt;="&amp;D$6)</f>
        <v>0</v>
      </c>
      <c r="E15" s="155">
        <f>-SUMIFS('Gastos agosto'!$D$24:$D$110,'Gastos agosto'!$F$24:$F$110,$A15,'Gastos agosto'!$H$24:$H$110,"&gt;="&amp;E$5,'Gastos agosto'!$H$24:$H$110,"&lt;="&amp;E$6)</f>
        <v>45000</v>
      </c>
      <c r="F15" s="155">
        <f>-SUMIFS('Gastos agosto'!$D$24:$D$110,'Gastos agosto'!$F$24:$F$110,$A15,'Gastos agosto'!$H$24:$H$110,"&gt;="&amp;F$5,'Gastos agosto'!$H$24:$H$110,"&lt;="&amp;F$6)</f>
        <v>45000</v>
      </c>
      <c r="G15" s="162">
        <f t="shared" si="0"/>
        <v>135000</v>
      </c>
    </row>
    <row r="16" spans="1:7" x14ac:dyDescent="0.25">
      <c r="A16" t="s">
        <v>138</v>
      </c>
      <c r="B16" s="155">
        <f>-SUMIFS('Gastos agosto'!$D$24:$D$110,'Gastos agosto'!$F$24:$F$110,$A16,'Gastos agosto'!$H$24:$H$110,"&gt;="&amp;B$5,'Gastos agosto'!$H$24:$H$110,"&lt;="&amp;B$6)</f>
        <v>0</v>
      </c>
      <c r="C16" s="155">
        <f>-SUMIFS('Gastos agosto'!$D$24:$D$110,'Gastos agosto'!$F$24:$F$110,$A16,'Gastos agosto'!$H$24:$H$110,"&gt;="&amp;C$5,'Gastos agosto'!$H$24:$H$110,"&lt;="&amp;C$6)</f>
        <v>6686.31</v>
      </c>
      <c r="D16" s="155">
        <f>-SUMIFS('Gastos agosto'!$D$24:$D$110,'Gastos agosto'!$F$24:$F$110,$A16,'Gastos agosto'!$H$24:$H$110,"&gt;="&amp;D$5,'Gastos agosto'!$H$24:$H$110,"&lt;="&amp;D$6)</f>
        <v>0</v>
      </c>
      <c r="E16" s="155">
        <f>-SUMIFS('Gastos agosto'!$D$24:$D$110,'Gastos agosto'!$F$24:$F$110,$A16,'Gastos agosto'!$H$24:$H$110,"&gt;="&amp;E$5,'Gastos agosto'!$H$24:$H$110,"&lt;="&amp;E$6)</f>
        <v>0</v>
      </c>
      <c r="F16" s="155">
        <f>-SUMIFS('Gastos agosto'!$D$24:$D$110,'Gastos agosto'!$F$24:$F$110,$A16,'Gastos agosto'!$H$24:$H$110,"&gt;="&amp;F$5,'Gastos agosto'!$H$24:$H$110,"&lt;="&amp;F$6)</f>
        <v>0</v>
      </c>
      <c r="G16" s="162">
        <f t="shared" si="0"/>
        <v>6686.31</v>
      </c>
    </row>
    <row r="17" spans="1:7" x14ac:dyDescent="0.25">
      <c r="A17" t="s">
        <v>268</v>
      </c>
      <c r="B17" s="155">
        <f>-SUMIFS('Gastos agosto'!$D$24:$D$110,'Gastos agosto'!$F$24:$F$110,$A17,'Gastos agosto'!$H$24:$H$110,"&gt;="&amp;B$5,'Gastos agosto'!$H$24:$H$110,"&lt;="&amp;B$6)</f>
        <v>0</v>
      </c>
      <c r="C17" s="155">
        <f>-SUMIFS('Gastos agosto'!$D$24:$D$110,'Gastos agosto'!$F$24:$F$110,$A17,'Gastos agosto'!$H$24:$H$110,"&gt;="&amp;C$5,'Gastos agosto'!$H$24:$H$110,"&lt;="&amp;C$6)</f>
        <v>7000</v>
      </c>
      <c r="D17" s="155">
        <f>-SUMIFS('Gastos agosto'!$D$24:$D$110,'Gastos agosto'!$F$24:$F$110,$A17,'Gastos agosto'!$H$24:$H$110,"&gt;="&amp;D$5,'Gastos agosto'!$H$24:$H$110,"&lt;="&amp;D$6)</f>
        <v>0</v>
      </c>
      <c r="E17" s="155">
        <f>-SUMIFS('Gastos agosto'!$D$24:$D$110,'Gastos agosto'!$F$24:$F$110,$A17,'Gastos agosto'!$H$24:$H$110,"&gt;="&amp;E$5,'Gastos agosto'!$H$24:$H$110,"&lt;="&amp;E$6)</f>
        <v>0</v>
      </c>
      <c r="F17" s="155">
        <f>-SUMIFS('Gastos agosto'!$D$24:$D$110,'Gastos agosto'!$F$24:$F$110,$A17,'Gastos agosto'!$H$24:$H$110,"&gt;="&amp;F$5,'Gastos agosto'!$H$24:$H$110,"&lt;="&amp;F$6)</f>
        <v>0</v>
      </c>
      <c r="G17" s="162">
        <f t="shared" si="0"/>
        <v>7000</v>
      </c>
    </row>
    <row r="18" spans="1:7" x14ac:dyDescent="0.25">
      <c r="A18" t="s">
        <v>221</v>
      </c>
      <c r="B18" s="155">
        <f>-SUMIFS('Gastos agosto'!$D$24:$D$110,'Gastos agosto'!$F$24:$F$110,$A18,'Gastos agosto'!$H$24:$H$110,"&gt;="&amp;B$5,'Gastos agosto'!$H$24:$H$110,"&lt;="&amp;B$6)</f>
        <v>0</v>
      </c>
      <c r="C18" s="155">
        <f>-SUMIFS('Gastos agosto'!$D$24:$D$110,'Gastos agosto'!$F$24:$F$110,$A18,'Gastos agosto'!$H$24:$H$110,"&gt;="&amp;C$5,'Gastos agosto'!$H$24:$H$110,"&lt;="&amp;C$6)</f>
        <v>0</v>
      </c>
      <c r="D18" s="155">
        <f>-SUMIFS('Gastos agosto'!$D$24:$D$110,'Gastos agosto'!$F$24:$F$110,$A18,'Gastos agosto'!$H$24:$H$110,"&gt;="&amp;D$5,'Gastos agosto'!$H$24:$H$110,"&lt;="&amp;D$6)</f>
        <v>0</v>
      </c>
      <c r="E18" s="155">
        <f>-SUMIFS('Gastos agosto'!$D$24:$D$110,'Gastos agosto'!$F$24:$F$110,$A18,'Gastos agosto'!$H$24:$H$110,"&gt;="&amp;E$5,'Gastos agosto'!$H$24:$H$110,"&lt;="&amp;E$6)</f>
        <v>112779.08</v>
      </c>
      <c r="F18" s="155">
        <f>-SUMIFS('Gastos agosto'!$D$24:$D$110,'Gastos agosto'!$F$24:$F$110,$A18,'Gastos agosto'!$H$24:$H$110,"&gt;="&amp;F$5,'Gastos agosto'!$H$24:$H$110,"&lt;="&amp;F$6)</f>
        <v>0</v>
      </c>
      <c r="G18" s="162">
        <f t="shared" si="0"/>
        <v>112779.08</v>
      </c>
    </row>
    <row r="19" spans="1:7" x14ac:dyDescent="0.25">
      <c r="A19" t="s">
        <v>250</v>
      </c>
      <c r="B19" s="155">
        <f>-SUMIFS('Gastos agosto'!$D$24:$D$110,'Gastos agosto'!$F$24:$F$110,$A19,'Gastos agosto'!$H$24:$H$110,"&gt;="&amp;B$5,'Gastos agosto'!$H$24:$H$110,"&lt;="&amp;B$6)</f>
        <v>0</v>
      </c>
      <c r="C19" s="155">
        <f>-SUMIFS('Gastos agosto'!$D$24:$D$110,'Gastos agosto'!$F$24:$F$110,$A19,'Gastos agosto'!$H$24:$H$110,"&gt;="&amp;C$5,'Gastos agosto'!$H$24:$H$110,"&lt;="&amp;C$6)</f>
        <v>0</v>
      </c>
      <c r="D19" s="155">
        <f>-SUMIFS('Gastos agosto'!$D$24:$D$110,'Gastos agosto'!$F$24:$F$110,$A19,'Gastos agosto'!$H$24:$H$110,"&gt;="&amp;D$5,'Gastos agosto'!$H$24:$H$110,"&lt;="&amp;D$6)</f>
        <v>0</v>
      </c>
      <c r="E19" s="155">
        <f>-SUMIFS('Gastos agosto'!$D$24:$D$110,'Gastos agosto'!$F$24:$F$110,$A19,'Gastos agosto'!$H$24:$H$110,"&gt;="&amp;E$5,'Gastos agosto'!$H$24:$H$110,"&lt;="&amp;E$6)</f>
        <v>10000</v>
      </c>
      <c r="F19" s="155">
        <f>-SUMIFS('Gastos agosto'!$D$24:$D$110,'Gastos agosto'!$F$24:$F$110,$A19,'Gastos agosto'!$H$24:$H$110,"&gt;="&amp;F$5,'Gastos agosto'!$H$24:$H$110,"&lt;="&amp;F$6)</f>
        <v>0</v>
      </c>
      <c r="G19" s="162">
        <f t="shared" si="0"/>
        <v>10000</v>
      </c>
    </row>
    <row r="20" spans="1:7" x14ac:dyDescent="0.25">
      <c r="A20" s="159" t="s">
        <v>347</v>
      </c>
      <c r="B20" s="160">
        <f t="shared" ref="B20:G20" si="1">SUM(B7:B19)</f>
        <v>166200</v>
      </c>
      <c r="C20" s="160">
        <f t="shared" si="1"/>
        <v>276137.05</v>
      </c>
      <c r="D20" s="160">
        <f t="shared" si="1"/>
        <v>297774.27</v>
      </c>
      <c r="E20" s="160">
        <f t="shared" si="1"/>
        <v>712799.08</v>
      </c>
      <c r="F20" s="160">
        <f t="shared" si="1"/>
        <v>84800</v>
      </c>
      <c r="G20" s="163">
        <f t="shared" si="1"/>
        <v>1537710.4000000001</v>
      </c>
    </row>
    <row r="22" spans="1:7" x14ac:dyDescent="0.25">
      <c r="A22" s="152" t="s">
        <v>337</v>
      </c>
      <c r="G22" s="120"/>
    </row>
    <row r="23" spans="1:7" x14ac:dyDescent="0.25">
      <c r="A23" t="s">
        <v>175</v>
      </c>
      <c r="B23" s="155">
        <f>-SUMIFS('Gastos agosto'!$D$24:$D$110,'Gastos agosto'!$F$24:$F$110,$A23,'Gastos agosto'!$H$24:$H$110,"&gt;="&amp;B$5,'Gastos agosto'!$H$24:$H$110,"&lt;="&amp;B$6)</f>
        <v>0</v>
      </c>
      <c r="C23" s="155">
        <f>-SUMIFS('Gastos agosto'!$D$24:$D$110,'Gastos agosto'!$F$24:$F$110,$A23,'Gastos agosto'!$H$24:$H$110,"&gt;="&amp;C$5,'Gastos agosto'!$H$24:$H$110,"&lt;="&amp;C$6)</f>
        <v>0</v>
      </c>
      <c r="D23" s="155">
        <f>-SUMIFS('Gastos agosto'!$D$24:$D$110,'Gastos agosto'!$F$24:$F$110,$A23,'Gastos agosto'!$H$24:$H$110,"&gt;="&amp;D$5,'Gastos agosto'!$H$24:$H$110,"&lt;="&amp;D$6)</f>
        <v>309817.91000000003</v>
      </c>
      <c r="E23" s="155">
        <f>-SUMIFS('Gastos agosto'!$D$24:$D$110,'Gastos agosto'!$F$24:$F$110,$A23,'Gastos agosto'!$H$24:$H$110,"&gt;="&amp;E$5,'Gastos agosto'!$H$24:$H$110,"&lt;="&amp;E$6)</f>
        <v>0</v>
      </c>
      <c r="F23" s="155">
        <f>-SUMIFS('Gastos agosto'!$D$24:$D$110,'Gastos agosto'!$F$24:$F$110,$A23,'Gastos agosto'!$H$24:$H$110,"&gt;="&amp;F$5,'Gastos agosto'!$H$24:$H$110,"&lt;="&amp;F$6)</f>
        <v>0</v>
      </c>
      <c r="G23" s="162">
        <f>SUM(B23:F23)</f>
        <v>309817.91000000003</v>
      </c>
    </row>
    <row r="24" spans="1:7" x14ac:dyDescent="0.25">
      <c r="A24" t="s">
        <v>166</v>
      </c>
      <c r="B24" s="155">
        <f>-SUMIFS('Gastos agosto'!$D$24:$D$110,'Gastos agosto'!$F$24:$F$110,$A24,'Gastos agosto'!$H$24:$H$110,"&gt;="&amp;B$5,'Gastos agosto'!$H$24:$H$110,"&lt;="&amp;B$6)</f>
        <v>0</v>
      </c>
      <c r="C24" s="155">
        <f>-SUMIFS('Gastos agosto'!$D$24:$D$110,'Gastos agosto'!$F$24:$F$110,$A24,'Gastos agosto'!$H$24:$H$110,"&gt;="&amp;C$5,'Gastos agosto'!$H$24:$H$110,"&lt;="&amp;C$6)</f>
        <v>1900000</v>
      </c>
      <c r="D24" s="155">
        <f>-SUMIFS('Gastos agosto'!$D$24:$D$110,'Gastos agosto'!$F$24:$F$110,$A24,'Gastos agosto'!$H$24:$H$110,"&gt;="&amp;D$5,'Gastos agosto'!$H$24:$H$110,"&lt;="&amp;D$6)</f>
        <v>200000</v>
      </c>
      <c r="E24" s="155">
        <f>-SUMIFS('Gastos agosto'!$D$24:$D$110,'Gastos agosto'!$F$24:$F$110,$A24,'Gastos agosto'!$H$24:$H$110,"&gt;="&amp;E$5,'Gastos agosto'!$H$24:$H$110,"&lt;="&amp;E$6)</f>
        <v>0</v>
      </c>
      <c r="F24" s="155">
        <f>-SUMIFS('Gastos agosto'!$D$24:$D$110,'Gastos agosto'!$F$24:$F$110,$A24,'Gastos agosto'!$H$24:$H$110,"&gt;="&amp;F$5,'Gastos agosto'!$H$24:$H$110,"&lt;="&amp;F$6)</f>
        <v>200000</v>
      </c>
      <c r="G24" s="162">
        <f>SUM(B24:F24)</f>
        <v>2300000</v>
      </c>
    </row>
    <row r="25" spans="1:7" x14ac:dyDescent="0.25">
      <c r="A25" t="s">
        <v>165</v>
      </c>
      <c r="B25" s="155">
        <f>-SUMIFS('Gastos agosto'!$D$24:$D$110,'Gastos agosto'!$F$24:$F$110,$A25,'Gastos agosto'!$H$24:$H$110,"&gt;="&amp;B$5,'Gastos agosto'!$H$24:$H$110,"&lt;="&amp;B$6)</f>
        <v>0</v>
      </c>
      <c r="C25" s="155">
        <f>-SUMIFS('Gastos agosto'!$D$24:$D$110,'Gastos agosto'!$F$24:$F$110,$A25,'Gastos agosto'!$H$24:$H$110,"&gt;="&amp;C$5,'Gastos agosto'!$H$24:$H$110,"&lt;="&amp;C$6)</f>
        <v>230000</v>
      </c>
      <c r="D25" s="155">
        <f>-SUMIFS('Gastos agosto'!$D$24:$D$110,'Gastos agosto'!$F$24:$F$110,$A25,'Gastos agosto'!$H$24:$H$110,"&gt;="&amp;D$5,'Gastos agosto'!$H$24:$H$110,"&lt;="&amp;D$6)</f>
        <v>200000</v>
      </c>
      <c r="E25" s="155">
        <f>-SUMIFS('Gastos agosto'!$D$24:$D$110,'Gastos agosto'!$F$24:$F$110,$A25,'Gastos agosto'!$H$24:$H$110,"&gt;="&amp;E$5,'Gastos agosto'!$H$24:$H$110,"&lt;="&amp;E$6)</f>
        <v>250000</v>
      </c>
      <c r="F25" s="155">
        <f>-SUMIFS('Gastos agosto'!$D$24:$D$110,'Gastos agosto'!$F$24:$F$110,$A25,'Gastos agosto'!$H$24:$H$110,"&gt;="&amp;F$5,'Gastos agosto'!$H$24:$H$110,"&lt;="&amp;F$6)</f>
        <v>60000</v>
      </c>
      <c r="G25" s="162">
        <f>SUM(B25:F25)</f>
        <v>740000</v>
      </c>
    </row>
    <row r="26" spans="1:7" x14ac:dyDescent="0.25">
      <c r="A26" t="s">
        <v>159</v>
      </c>
      <c r="B26" s="155">
        <f>-SUMIFS('Gastos agosto'!$D$24:$D$110,'Gastos agosto'!$F$24:$F$110,$A26,'Gastos agosto'!$H$24:$H$110,"&gt;="&amp;B$5,'Gastos agosto'!$H$24:$H$110,"&lt;="&amp;B$6)</f>
        <v>0</v>
      </c>
      <c r="C26" s="155">
        <f>-SUMIFS('Gastos agosto'!$D$24:$D$110,'Gastos agosto'!$F$24:$F$110,$A26,'Gastos agosto'!$H$24:$H$110,"&gt;="&amp;C$5,'Gastos agosto'!$H$24:$H$110,"&lt;="&amp;C$6)</f>
        <v>0</v>
      </c>
      <c r="D26" s="155">
        <f>-SUMIFS('Gastos agosto'!$D$24:$D$110,'Gastos agosto'!$F$24:$F$110,$A26,'Gastos agosto'!$H$24:$H$110,"&gt;="&amp;D$5,'Gastos agosto'!$H$24:$H$110,"&lt;="&amp;D$6)</f>
        <v>170000</v>
      </c>
      <c r="E26" s="155">
        <f>-SUMIFS('Gastos agosto'!$D$24:$D$110,'Gastos agosto'!$F$24:$F$110,$A26,'Gastos agosto'!$H$24:$H$110,"&gt;="&amp;E$5,'Gastos agosto'!$H$24:$H$110,"&lt;="&amp;E$6)</f>
        <v>0</v>
      </c>
      <c r="F26" s="155">
        <f>-SUMIFS('Gastos agosto'!$D$24:$D$110,'Gastos agosto'!$F$24:$F$110,$A26,'Gastos agosto'!$H$24:$H$110,"&gt;="&amp;F$5,'Gastos agosto'!$H$24:$H$110,"&lt;="&amp;F$6)</f>
        <v>0</v>
      </c>
      <c r="G26" s="162">
        <f>SUM(B26:F26)</f>
        <v>170000</v>
      </c>
    </row>
    <row r="27" spans="1:7" x14ac:dyDescent="0.25">
      <c r="A27" s="159" t="s">
        <v>338</v>
      </c>
      <c r="B27" s="160">
        <f t="shared" ref="B27:G27" si="2">SUM(B23:B26)</f>
        <v>0</v>
      </c>
      <c r="C27" s="160">
        <f t="shared" si="2"/>
        <v>2130000</v>
      </c>
      <c r="D27" s="160">
        <f t="shared" si="2"/>
        <v>879817.91</v>
      </c>
      <c r="E27" s="160">
        <f t="shared" si="2"/>
        <v>250000</v>
      </c>
      <c r="F27" s="160">
        <f t="shared" si="2"/>
        <v>260000</v>
      </c>
      <c r="G27" s="163">
        <f t="shared" si="2"/>
        <v>3519817.91</v>
      </c>
    </row>
    <row r="28" spans="1:7" x14ac:dyDescent="0.25">
      <c r="B28" s="155"/>
      <c r="C28" s="155"/>
      <c r="D28" s="155"/>
      <c r="E28" s="155"/>
      <c r="F28" s="155"/>
      <c r="G28" s="162"/>
    </row>
    <row r="29" spans="1:7" x14ac:dyDescent="0.25">
      <c r="A29" s="169" t="s">
        <v>339</v>
      </c>
      <c r="B29" s="170">
        <f t="shared" ref="B29:G29" si="3">B20+B27</f>
        <v>166200</v>
      </c>
      <c r="C29" s="170">
        <f t="shared" si="3"/>
        <v>2406137.0499999998</v>
      </c>
      <c r="D29" s="170">
        <f t="shared" si="3"/>
        <v>1177592.1800000002</v>
      </c>
      <c r="E29" s="170">
        <f t="shared" si="3"/>
        <v>962799.08</v>
      </c>
      <c r="F29" s="170">
        <f t="shared" si="3"/>
        <v>344800</v>
      </c>
      <c r="G29" s="171">
        <f t="shared" si="3"/>
        <v>5057528.3100000005</v>
      </c>
    </row>
    <row r="31" spans="1:7" x14ac:dyDescent="0.25">
      <c r="A31" s="154" t="s">
        <v>351</v>
      </c>
      <c r="B31" s="156">
        <f>-SUMIFS('Gastos agosto'!$D$24:$D$110,'Gastos agosto'!$H$24:$H$110,"&gt;="&amp;$B$5,'Gastos agosto'!$H$24:$H$110,"&lt;="&amp;$F$6)</f>
        <v>5057528.3100000005</v>
      </c>
    </row>
    <row r="32" spans="1:7" x14ac:dyDescent="0.25">
      <c r="A32" s="154" t="s">
        <v>341</v>
      </c>
      <c r="B32" s="156">
        <f>B31-G29</f>
        <v>0</v>
      </c>
    </row>
    <row r="33" spans="1:7" x14ac:dyDescent="0.25">
      <c r="A33" s="154" t="s">
        <v>352</v>
      </c>
      <c r="B33" s="156">
        <f>-SUMIFS('Gastos agosto'!$D$24:$D$110,'Gastos agosto'!$H$24:$H$110,"&gt;"&amp;$F$6)-SUMIFS('Gastos agosto'!$D$24:$D$110,'Gastos agosto'!$H$24:$H$110,"&lt;"&amp;$B$5)</f>
        <v>0</v>
      </c>
    </row>
    <row r="36" spans="1:7" x14ac:dyDescent="0.25">
      <c r="A36" s="11" t="s">
        <v>353</v>
      </c>
    </row>
    <row r="37" spans="1:7" x14ac:dyDescent="0.25">
      <c r="A37" s="168" t="s">
        <v>123</v>
      </c>
      <c r="B37" s="149" t="s">
        <v>329</v>
      </c>
      <c r="C37" s="149" t="s">
        <v>330</v>
      </c>
      <c r="D37" s="149" t="s">
        <v>331</v>
      </c>
      <c r="E37" s="149" t="s">
        <v>332</v>
      </c>
      <c r="F37" s="149" t="s">
        <v>333</v>
      </c>
      <c r="G37" s="161" t="s">
        <v>334</v>
      </c>
    </row>
    <row r="38" spans="1:7" x14ac:dyDescent="0.25">
      <c r="A38" t="str">
        <f t="shared" ref="A38:A50" si="4">$A7</f>
        <v>Salidas a cenar/almorzar</v>
      </c>
      <c r="B38" s="155">
        <f>SUMIFS('Gastos agosto'!$C$24:$C$110,'Gastos agosto'!$F$24:$F$110,$A38,'Gastos agosto'!$H$24:$H$110,"&gt;="&amp;B$5,'Gastos agosto'!$H$24:$H$110,"&lt;="&amp;B$6)</f>
        <v>0</v>
      </c>
      <c r="C38" s="155">
        <f>SUMIFS('Gastos agosto'!$C$24:$C$110,'Gastos agosto'!$F$24:$F$110,$A38,'Gastos agosto'!$H$24:$H$110,"&gt;="&amp;C$5,'Gastos agosto'!$H$24:$H$110,"&lt;="&amp;C$6)</f>
        <v>21000</v>
      </c>
      <c r="D38" s="155">
        <f>SUMIFS('Gastos agosto'!$C$24:$C$110,'Gastos agosto'!$F$24:$F$110,$A38,'Gastos agosto'!$H$24:$H$110,"&gt;="&amp;D$5,'Gastos agosto'!$H$24:$H$110,"&lt;="&amp;D$6)</f>
        <v>0</v>
      </c>
      <c r="E38" s="155">
        <f>SUMIFS('Gastos agosto'!$C$24:$C$110,'Gastos agosto'!$F$24:$F$110,$A38,'Gastos agosto'!$H$24:$H$110,"&gt;="&amp;E$5,'Gastos agosto'!$H$24:$H$110,"&lt;="&amp;E$6)</f>
        <v>0</v>
      </c>
      <c r="F38" s="155">
        <f>SUMIFS('Gastos agosto'!$C$24:$C$110,'Gastos agosto'!$F$24:$F$110,$A38,'Gastos agosto'!$H$24:$H$110,"&gt;="&amp;F$5,'Gastos agosto'!$H$24:$H$110,"&lt;="&amp;F$6)</f>
        <v>0</v>
      </c>
      <c r="G38" s="162">
        <f t="shared" ref="G38:G50" si="5">SUM(B38:F38)</f>
        <v>21000</v>
      </c>
    </row>
    <row r="39" spans="1:7" x14ac:dyDescent="0.25">
      <c r="A39" t="str">
        <f t="shared" si="4"/>
        <v>Juntadas a cenar/almorzar</v>
      </c>
      <c r="B39" s="155">
        <f>SUMIFS('Gastos agosto'!$C$24:$C$110,'Gastos agosto'!$F$24:$F$110,$A39,'Gastos agosto'!$H$24:$H$110,"&gt;="&amp;B$5,'Gastos agosto'!$H$24:$H$110,"&lt;="&amp;B$6)</f>
        <v>0</v>
      </c>
      <c r="C39" s="155">
        <f>SUMIFS('Gastos agosto'!$C$24:$C$110,'Gastos agosto'!$F$24:$F$110,$A39,'Gastos agosto'!$H$24:$H$110,"&gt;="&amp;C$5,'Gastos agosto'!$H$24:$H$110,"&lt;="&amp;C$6)</f>
        <v>0</v>
      </c>
      <c r="D39" s="155">
        <f>SUMIFS('Gastos agosto'!$C$24:$C$110,'Gastos agosto'!$F$24:$F$110,$A39,'Gastos agosto'!$H$24:$H$110,"&gt;="&amp;D$5,'Gastos agosto'!$H$24:$H$110,"&lt;="&amp;D$6)</f>
        <v>142000</v>
      </c>
      <c r="E39" s="155">
        <f>SUMIFS('Gastos agosto'!$C$24:$C$110,'Gastos agosto'!$F$24:$F$110,$A39,'Gastos agosto'!$H$24:$H$110,"&gt;="&amp;E$5,'Gastos agosto'!$H$24:$H$110,"&lt;="&amp;E$6)</f>
        <v>0</v>
      </c>
      <c r="F39" s="155">
        <f>SUMIFS('Gastos agosto'!$C$24:$C$110,'Gastos agosto'!$F$24:$F$110,$A39,'Gastos agosto'!$H$24:$H$110,"&gt;="&amp;F$5,'Gastos agosto'!$H$24:$H$110,"&lt;="&amp;F$6)</f>
        <v>600</v>
      </c>
      <c r="G39" s="162">
        <f t="shared" si="5"/>
        <v>142600</v>
      </c>
    </row>
    <row r="40" spans="1:7" x14ac:dyDescent="0.25">
      <c r="A40" t="str">
        <f t="shared" si="4"/>
        <v>Salidas a desyunar/merendar</v>
      </c>
      <c r="B40" s="155">
        <f>SUMIFS('Gastos agosto'!$C$24:$C$110,'Gastos agosto'!$F$24:$F$110,$A40,'Gastos agosto'!$H$24:$H$110,"&gt;="&amp;B$5,'Gastos agosto'!$H$24:$H$110,"&lt;="&amp;B$6)</f>
        <v>0</v>
      </c>
      <c r="C40" s="155">
        <f>SUMIFS('Gastos agosto'!$C$24:$C$110,'Gastos agosto'!$F$24:$F$110,$A40,'Gastos agosto'!$H$24:$H$110,"&gt;="&amp;C$5,'Gastos agosto'!$H$24:$H$110,"&lt;="&amp;C$6)</f>
        <v>0</v>
      </c>
      <c r="D40" s="155">
        <f>SUMIFS('Gastos agosto'!$C$24:$C$110,'Gastos agosto'!$F$24:$F$110,$A40,'Gastos agosto'!$H$24:$H$110,"&gt;="&amp;D$5,'Gastos agosto'!$H$24:$H$110,"&lt;="&amp;D$6)</f>
        <v>0</v>
      </c>
      <c r="E40" s="155">
        <f>SUMIFS('Gastos agosto'!$C$24:$C$110,'Gastos agosto'!$F$24:$F$110,$A40,'Gastos agosto'!$H$24:$H$110,"&gt;="&amp;E$5,'Gastos agosto'!$H$24:$H$110,"&lt;="&amp;E$6)</f>
        <v>0</v>
      </c>
      <c r="F40" s="155">
        <f>SUMIFS('Gastos agosto'!$C$24:$C$110,'Gastos agosto'!$F$24:$F$110,$A40,'Gastos agosto'!$H$24:$H$110,"&gt;="&amp;F$5,'Gastos agosto'!$H$24:$H$110,"&lt;="&amp;F$6)</f>
        <v>0</v>
      </c>
      <c r="G40" s="162">
        <f t="shared" si="5"/>
        <v>0</v>
      </c>
    </row>
    <row r="41" spans="1:7" x14ac:dyDescent="0.25">
      <c r="A41" t="str">
        <f t="shared" si="4"/>
        <v>Salidas a tomar algo</v>
      </c>
      <c r="B41" s="155">
        <f>SUMIFS('Gastos agosto'!$C$24:$C$110,'Gastos agosto'!$F$24:$F$110,$A41,'Gastos agosto'!$H$24:$H$110,"&gt;="&amp;B$5,'Gastos agosto'!$H$24:$H$110,"&lt;="&amp;B$6)</f>
        <v>29700</v>
      </c>
      <c r="C41" s="155">
        <f>SUMIFS('Gastos agosto'!$C$24:$C$110,'Gastos agosto'!$F$24:$F$110,$A41,'Gastos agosto'!$H$24:$H$110,"&gt;="&amp;C$5,'Gastos agosto'!$H$24:$H$110,"&lt;="&amp;C$6)</f>
        <v>0</v>
      </c>
      <c r="D41" s="155">
        <f>SUMIFS('Gastos agosto'!$C$24:$C$110,'Gastos agosto'!$F$24:$F$110,$A41,'Gastos agosto'!$H$24:$H$110,"&gt;="&amp;D$5,'Gastos agosto'!$H$24:$H$110,"&lt;="&amp;D$6)</f>
        <v>0</v>
      </c>
      <c r="E41" s="155">
        <f>SUMIFS('Gastos agosto'!$C$24:$C$110,'Gastos agosto'!$F$24:$F$110,$A41,'Gastos agosto'!$H$24:$H$110,"&gt;="&amp;E$5,'Gastos agosto'!$H$24:$H$110,"&lt;="&amp;E$6)</f>
        <v>0</v>
      </c>
      <c r="F41" s="155">
        <f>SUMIFS('Gastos agosto'!$C$24:$C$110,'Gastos agosto'!$F$24:$F$110,$A41,'Gastos agosto'!$H$24:$H$110,"&gt;="&amp;F$5,'Gastos agosto'!$H$24:$H$110,"&lt;="&amp;F$6)</f>
        <v>0</v>
      </c>
      <c r="G41" s="162">
        <f t="shared" si="5"/>
        <v>29700</v>
      </c>
    </row>
    <row r="42" spans="1:7" x14ac:dyDescent="0.25">
      <c r="A42" t="str">
        <f t="shared" si="4"/>
        <v>Delivery</v>
      </c>
      <c r="B42" s="155">
        <f>SUMIFS('Gastos agosto'!$C$24:$C$110,'Gastos agosto'!$F$24:$F$110,$A42,'Gastos agosto'!$H$24:$H$110,"&gt;="&amp;B$5,'Gastos agosto'!$H$24:$H$110,"&lt;="&amp;B$6)</f>
        <v>0</v>
      </c>
      <c r="C42" s="155">
        <f>SUMIFS('Gastos agosto'!$C$24:$C$110,'Gastos agosto'!$F$24:$F$110,$A42,'Gastos agosto'!$H$24:$H$110,"&gt;="&amp;C$5,'Gastos agosto'!$H$24:$H$110,"&lt;="&amp;C$6)</f>
        <v>19500</v>
      </c>
      <c r="D42" s="155">
        <f>SUMIFS('Gastos agosto'!$C$24:$C$110,'Gastos agosto'!$F$24:$F$110,$A42,'Gastos agosto'!$H$24:$H$110,"&gt;="&amp;D$5,'Gastos agosto'!$H$24:$H$110,"&lt;="&amp;D$6)</f>
        <v>0</v>
      </c>
      <c r="E42" s="155">
        <f>SUMIFS('Gastos agosto'!$C$24:$C$110,'Gastos agosto'!$F$24:$F$110,$A42,'Gastos agosto'!$H$24:$H$110,"&gt;="&amp;E$5,'Gastos agosto'!$H$24:$H$110,"&lt;="&amp;E$6)</f>
        <v>0</v>
      </c>
      <c r="F42" s="155">
        <f>SUMIFS('Gastos agosto'!$C$24:$C$110,'Gastos agosto'!$F$24:$F$110,$A42,'Gastos agosto'!$H$24:$H$110,"&gt;="&amp;F$5,'Gastos agosto'!$H$24:$H$110,"&lt;="&amp;F$6)</f>
        <v>0</v>
      </c>
      <c r="G42" s="162">
        <f t="shared" si="5"/>
        <v>19500</v>
      </c>
    </row>
    <row r="43" spans="1:7" x14ac:dyDescent="0.25">
      <c r="A43" t="str">
        <f t="shared" si="4"/>
        <v>Auto</v>
      </c>
      <c r="B43" s="155">
        <f>SUMIFS('Gastos agosto'!$C$24:$C$110,'Gastos agosto'!$F$24:$F$110,$A43,'Gastos agosto'!$H$24:$H$110,"&gt;="&amp;B$5,'Gastos agosto'!$H$24:$H$110,"&lt;="&amp;B$6)</f>
        <v>0</v>
      </c>
      <c r="C43" s="155">
        <f>SUMIFS('Gastos agosto'!$C$24:$C$110,'Gastos agosto'!$F$24:$F$110,$A43,'Gastos agosto'!$H$24:$H$110,"&gt;="&amp;C$5,'Gastos agosto'!$H$24:$H$110,"&lt;="&amp;C$6)</f>
        <v>0</v>
      </c>
      <c r="D43" s="155">
        <f>SUMIFS('Gastos agosto'!$C$24:$C$110,'Gastos agosto'!$F$24:$F$110,$A43,'Gastos agosto'!$H$24:$H$110,"&gt;="&amp;D$5,'Gastos agosto'!$H$24:$H$110,"&lt;="&amp;D$6)</f>
        <v>50000</v>
      </c>
      <c r="E43" s="155">
        <f>SUMIFS('Gastos agosto'!$C$24:$C$110,'Gastos agosto'!$F$24:$F$110,$A43,'Gastos agosto'!$H$24:$H$110,"&gt;="&amp;E$5,'Gastos agosto'!$H$24:$H$110,"&lt;="&amp;E$6)</f>
        <v>0</v>
      </c>
      <c r="F43" s="155">
        <f>SUMIFS('Gastos agosto'!$C$24:$C$110,'Gastos agosto'!$F$24:$F$110,$A43,'Gastos agosto'!$H$24:$H$110,"&gt;="&amp;F$5,'Gastos agosto'!$H$24:$H$110,"&lt;="&amp;F$6)</f>
        <v>0</v>
      </c>
      <c r="G43" s="162">
        <f t="shared" si="5"/>
        <v>50000</v>
      </c>
    </row>
    <row r="44" spans="1:7" x14ac:dyDescent="0.25">
      <c r="A44" t="str">
        <f t="shared" si="4"/>
        <v>Regalos</v>
      </c>
      <c r="B44" s="155">
        <f>SUMIFS('Gastos agosto'!$C$24:$C$110,'Gastos agosto'!$F$24:$F$110,$A44,'Gastos agosto'!$H$24:$H$110,"&gt;="&amp;B$5,'Gastos agosto'!$H$24:$H$110,"&lt;="&amp;B$6)</f>
        <v>0</v>
      </c>
      <c r="C44" s="155">
        <f>SUMIFS('Gastos agosto'!$C$24:$C$110,'Gastos agosto'!$F$24:$F$110,$A44,'Gastos agosto'!$H$24:$H$110,"&gt;="&amp;C$5,'Gastos agosto'!$H$24:$H$110,"&lt;="&amp;C$6)</f>
        <v>0</v>
      </c>
      <c r="D44" s="155">
        <f>SUMIFS('Gastos agosto'!$C$24:$C$110,'Gastos agosto'!$F$24:$F$110,$A44,'Gastos agosto'!$H$24:$H$110,"&gt;="&amp;D$5,'Gastos agosto'!$H$24:$H$110,"&lt;="&amp;D$6)</f>
        <v>30000</v>
      </c>
      <c r="E44" s="155">
        <f>SUMIFS('Gastos agosto'!$C$24:$C$110,'Gastos agosto'!$F$24:$F$110,$A44,'Gastos agosto'!$H$24:$H$110,"&gt;="&amp;E$5,'Gastos agosto'!$H$24:$H$110,"&lt;="&amp;E$6)</f>
        <v>366000</v>
      </c>
      <c r="F44" s="155">
        <f>SUMIFS('Gastos agosto'!$C$24:$C$110,'Gastos agosto'!$F$24:$F$110,$A44,'Gastos agosto'!$H$24:$H$110,"&gt;="&amp;F$5,'Gastos agosto'!$H$24:$H$110,"&lt;="&amp;F$6)</f>
        <v>0</v>
      </c>
      <c r="G44" s="162">
        <f t="shared" si="5"/>
        <v>396000</v>
      </c>
    </row>
    <row r="45" spans="1:7" x14ac:dyDescent="0.25">
      <c r="A45" t="str">
        <f t="shared" si="4"/>
        <v>Fiestas</v>
      </c>
      <c r="B45" s="155">
        <f>SUMIFS('Gastos agosto'!$C$24:$C$110,'Gastos agosto'!$F$24:$F$110,$A45,'Gastos agosto'!$H$24:$H$110,"&gt;="&amp;B$5,'Gastos agosto'!$H$24:$H$110,"&lt;="&amp;B$6)</f>
        <v>0</v>
      </c>
      <c r="C45" s="155">
        <f>SUMIFS('Gastos agosto'!$C$24:$C$110,'Gastos agosto'!$F$24:$F$110,$A45,'Gastos agosto'!$H$24:$H$110,"&gt;="&amp;C$5,'Gastos agosto'!$H$24:$H$110,"&lt;="&amp;C$6)</f>
        <v>0</v>
      </c>
      <c r="D45" s="155">
        <f>SUMIFS('Gastos agosto'!$C$24:$C$110,'Gastos agosto'!$F$24:$F$110,$A45,'Gastos agosto'!$H$24:$H$110,"&gt;="&amp;D$5,'Gastos agosto'!$H$24:$H$110,"&lt;="&amp;D$6)</f>
        <v>0</v>
      </c>
      <c r="E45" s="155">
        <f>SUMIFS('Gastos agosto'!$C$24:$C$110,'Gastos agosto'!$F$24:$F$110,$A45,'Gastos agosto'!$H$24:$H$110,"&gt;="&amp;E$5,'Gastos agosto'!$H$24:$H$110,"&lt;="&amp;E$6)</f>
        <v>0</v>
      </c>
      <c r="F45" s="155">
        <f>SUMIFS('Gastos agosto'!$C$24:$C$110,'Gastos agosto'!$F$24:$F$110,$A45,'Gastos agosto'!$H$24:$H$110,"&gt;="&amp;F$5,'Gastos agosto'!$H$24:$H$110,"&lt;="&amp;F$6)</f>
        <v>0</v>
      </c>
      <c r="G45" s="162">
        <f t="shared" si="5"/>
        <v>0</v>
      </c>
    </row>
    <row r="46" spans="1:7" x14ac:dyDescent="0.25">
      <c r="A46" t="str">
        <f t="shared" si="4"/>
        <v>Psicóloga</v>
      </c>
      <c r="B46" s="155">
        <f>SUMIFS('Gastos agosto'!$C$24:$C$110,'Gastos agosto'!$F$24:$F$110,$A46,'Gastos agosto'!$H$24:$H$110,"&gt;="&amp;B$5,'Gastos agosto'!$H$24:$H$110,"&lt;="&amp;B$6)</f>
        <v>0</v>
      </c>
      <c r="C46" s="155">
        <f>SUMIFS('Gastos agosto'!$C$24:$C$110,'Gastos agosto'!$F$24:$F$110,$A46,'Gastos agosto'!$H$24:$H$110,"&gt;="&amp;C$5,'Gastos agosto'!$H$24:$H$110,"&lt;="&amp;C$6)</f>
        <v>0</v>
      </c>
      <c r="D46" s="155">
        <f>SUMIFS('Gastos agosto'!$C$24:$C$110,'Gastos agosto'!$F$24:$F$110,$A46,'Gastos agosto'!$H$24:$H$110,"&gt;="&amp;D$5,'Gastos agosto'!$H$24:$H$110,"&lt;="&amp;D$6)</f>
        <v>0</v>
      </c>
      <c r="E46" s="155">
        <f>SUMIFS('Gastos agosto'!$C$24:$C$110,'Gastos agosto'!$F$24:$F$110,$A46,'Gastos agosto'!$H$24:$H$110,"&gt;="&amp;E$5,'Gastos agosto'!$H$24:$H$110,"&lt;="&amp;E$6)</f>
        <v>0</v>
      </c>
      <c r="F46" s="155">
        <f>SUMIFS('Gastos agosto'!$C$24:$C$110,'Gastos agosto'!$F$24:$F$110,$A46,'Gastos agosto'!$H$24:$H$110,"&gt;="&amp;F$5,'Gastos agosto'!$H$24:$H$110,"&lt;="&amp;F$6)</f>
        <v>30386</v>
      </c>
      <c r="G46" s="162">
        <f t="shared" si="5"/>
        <v>30386</v>
      </c>
    </row>
    <row r="47" spans="1:7" x14ac:dyDescent="0.25">
      <c r="A47" t="str">
        <f t="shared" si="4"/>
        <v>Farmacia/Cosméticos</v>
      </c>
      <c r="B47" s="155">
        <f>SUMIFS('Gastos agosto'!$C$24:$C$110,'Gastos agosto'!$F$24:$F$110,$A47,'Gastos agosto'!$H$24:$H$110,"&gt;="&amp;B$5,'Gastos agosto'!$H$24:$H$110,"&lt;="&amp;B$6)</f>
        <v>0</v>
      </c>
      <c r="C47" s="155">
        <f>SUMIFS('Gastos agosto'!$C$24:$C$110,'Gastos agosto'!$F$24:$F$110,$A47,'Gastos agosto'!$H$24:$H$110,"&gt;="&amp;C$5,'Gastos agosto'!$H$24:$H$110,"&lt;="&amp;C$6)</f>
        <v>0</v>
      </c>
      <c r="D47" s="155">
        <f>SUMIFS('Gastos agosto'!$C$24:$C$110,'Gastos agosto'!$F$24:$F$110,$A47,'Gastos agosto'!$H$24:$H$110,"&gt;="&amp;D$5,'Gastos agosto'!$H$24:$H$110,"&lt;="&amp;D$6)</f>
        <v>0</v>
      </c>
      <c r="E47" s="155">
        <f>SUMIFS('Gastos agosto'!$C$24:$C$110,'Gastos agosto'!$F$24:$F$110,$A47,'Gastos agosto'!$H$24:$H$110,"&gt;="&amp;E$5,'Gastos agosto'!$H$24:$H$110,"&lt;="&amp;E$6)</f>
        <v>0</v>
      </c>
      <c r="F47" s="155">
        <f>SUMIFS('Gastos agosto'!$C$24:$C$110,'Gastos agosto'!$F$24:$F$110,$A47,'Gastos agosto'!$H$24:$H$110,"&gt;="&amp;F$5,'Gastos agosto'!$H$24:$H$110,"&lt;="&amp;F$6)</f>
        <v>0</v>
      </c>
      <c r="G47" s="162">
        <f t="shared" si="5"/>
        <v>0</v>
      </c>
    </row>
    <row r="48" spans="1:7" x14ac:dyDescent="0.25">
      <c r="A48" t="str">
        <f t="shared" si="4"/>
        <v>Celular</v>
      </c>
      <c r="B48" s="155">
        <f>SUMIFS('Gastos agosto'!$C$24:$C$110,'Gastos agosto'!$F$24:$F$110,$A48,'Gastos agosto'!$H$24:$H$110,"&gt;="&amp;B$5,'Gastos agosto'!$H$24:$H$110,"&lt;="&amp;B$6)</f>
        <v>0</v>
      </c>
      <c r="C48" s="155">
        <f>SUMIFS('Gastos agosto'!$C$24:$C$110,'Gastos agosto'!$F$24:$F$110,$A48,'Gastos agosto'!$H$24:$H$110,"&gt;="&amp;C$5,'Gastos agosto'!$H$24:$H$110,"&lt;="&amp;C$6)</f>
        <v>0</v>
      </c>
      <c r="D48" s="155">
        <f>SUMIFS('Gastos agosto'!$C$24:$C$110,'Gastos agosto'!$F$24:$F$110,$A48,'Gastos agosto'!$H$24:$H$110,"&gt;="&amp;D$5,'Gastos agosto'!$H$24:$H$110,"&lt;="&amp;D$6)</f>
        <v>0</v>
      </c>
      <c r="E48" s="155">
        <f>SUMIFS('Gastos agosto'!$C$24:$C$110,'Gastos agosto'!$F$24:$F$110,$A48,'Gastos agosto'!$H$24:$H$110,"&gt;="&amp;E$5,'Gastos agosto'!$H$24:$H$110,"&lt;="&amp;E$6)</f>
        <v>0</v>
      </c>
      <c r="F48" s="155">
        <f>SUMIFS('Gastos agosto'!$C$24:$C$110,'Gastos agosto'!$F$24:$F$110,$A48,'Gastos agosto'!$H$24:$H$110,"&gt;="&amp;F$5,'Gastos agosto'!$H$24:$H$110,"&lt;="&amp;F$6)</f>
        <v>0</v>
      </c>
      <c r="G48" s="162">
        <f t="shared" si="5"/>
        <v>0</v>
      </c>
    </row>
    <row r="49" spans="1:7" x14ac:dyDescent="0.25">
      <c r="A49" t="str">
        <f t="shared" si="4"/>
        <v>Pago monotributo</v>
      </c>
      <c r="B49" s="155">
        <f>SUMIFS('Gastos agosto'!$C$24:$C$110,'Gastos agosto'!$F$24:$F$110,$A49,'Gastos agosto'!$H$24:$H$110,"&gt;="&amp;B$5,'Gastos agosto'!$H$24:$H$110,"&lt;="&amp;B$6)</f>
        <v>0</v>
      </c>
      <c r="C49" s="155">
        <f>SUMIFS('Gastos agosto'!$C$24:$C$110,'Gastos agosto'!$F$24:$F$110,$A49,'Gastos agosto'!$H$24:$H$110,"&gt;="&amp;C$5,'Gastos agosto'!$H$24:$H$110,"&lt;="&amp;C$6)</f>
        <v>0</v>
      </c>
      <c r="D49" s="155">
        <f>SUMIFS('Gastos agosto'!$C$24:$C$110,'Gastos agosto'!$F$24:$F$110,$A49,'Gastos agosto'!$H$24:$H$110,"&gt;="&amp;D$5,'Gastos agosto'!$H$24:$H$110,"&lt;="&amp;D$6)</f>
        <v>0</v>
      </c>
      <c r="E49" s="155">
        <f>SUMIFS('Gastos agosto'!$C$24:$C$110,'Gastos agosto'!$F$24:$F$110,$A49,'Gastos agosto'!$H$24:$H$110,"&gt;="&amp;E$5,'Gastos agosto'!$H$24:$H$110,"&lt;="&amp;E$6)</f>
        <v>56400</v>
      </c>
      <c r="F49" s="155">
        <f>SUMIFS('Gastos agosto'!$C$24:$C$110,'Gastos agosto'!$F$24:$F$110,$A49,'Gastos agosto'!$H$24:$H$110,"&gt;="&amp;F$5,'Gastos agosto'!$H$24:$H$110,"&lt;="&amp;F$6)</f>
        <v>0</v>
      </c>
      <c r="G49" s="162">
        <f t="shared" si="5"/>
        <v>56400</v>
      </c>
    </row>
    <row r="50" spans="1:7" x14ac:dyDescent="0.25">
      <c r="A50" t="str">
        <f t="shared" si="4"/>
        <v>Transferencias Jo</v>
      </c>
      <c r="B50" s="155">
        <f>SUMIFS('Gastos agosto'!$C$24:$C$110,'Gastos agosto'!$F$24:$F$110,$A50,'Gastos agosto'!$H$24:$H$110,"&gt;="&amp;B$5,'Gastos agosto'!$H$24:$H$110,"&lt;="&amp;B$6)</f>
        <v>0</v>
      </c>
      <c r="C50" s="155">
        <f>SUMIFS('Gastos agosto'!$C$24:$C$110,'Gastos agosto'!$F$24:$F$110,$A50,'Gastos agosto'!$H$24:$H$110,"&gt;="&amp;C$5,'Gastos agosto'!$H$24:$H$110,"&lt;="&amp;C$6)</f>
        <v>0</v>
      </c>
      <c r="D50" s="155">
        <f>SUMIFS('Gastos agosto'!$C$24:$C$110,'Gastos agosto'!$F$24:$F$110,$A50,'Gastos agosto'!$H$24:$H$110,"&gt;="&amp;D$5,'Gastos agosto'!$H$24:$H$110,"&lt;="&amp;D$6)</f>
        <v>25000</v>
      </c>
      <c r="E50" s="155">
        <f>SUMIFS('Gastos agosto'!$C$24:$C$110,'Gastos agosto'!$F$24:$F$110,$A50,'Gastos agosto'!$H$24:$H$110,"&gt;="&amp;E$5,'Gastos agosto'!$H$24:$H$110,"&lt;="&amp;E$6)</f>
        <v>0</v>
      </c>
      <c r="F50" s="155">
        <f>SUMIFS('Gastos agosto'!$C$24:$C$110,'Gastos agosto'!$F$24:$F$110,$A50,'Gastos agosto'!$H$24:$H$110,"&gt;="&amp;F$5,'Gastos agosto'!$H$24:$H$110,"&lt;="&amp;F$6)</f>
        <v>0</v>
      </c>
      <c r="G50" s="162">
        <f t="shared" si="5"/>
        <v>25000</v>
      </c>
    </row>
    <row r="51" spans="1:7" x14ac:dyDescent="0.25">
      <c r="A51" s="159" t="s">
        <v>344</v>
      </c>
      <c r="B51" s="160">
        <f t="shared" ref="B51:G51" si="6">SUM(B38:B50)</f>
        <v>29700</v>
      </c>
      <c r="C51" s="160">
        <f t="shared" si="6"/>
        <v>40500</v>
      </c>
      <c r="D51" s="160">
        <f t="shared" si="6"/>
        <v>247000</v>
      </c>
      <c r="E51" s="160">
        <f t="shared" si="6"/>
        <v>422400</v>
      </c>
      <c r="F51" s="160">
        <f t="shared" si="6"/>
        <v>30986</v>
      </c>
      <c r="G51" s="163">
        <f t="shared" si="6"/>
        <v>770586</v>
      </c>
    </row>
    <row r="54" spans="1:7" x14ac:dyDescent="0.25">
      <c r="A54" s="11" t="s">
        <v>345</v>
      </c>
    </row>
    <row r="55" spans="1:7" x14ac:dyDescent="0.25">
      <c r="A55" s="168" t="s">
        <v>123</v>
      </c>
      <c r="B55" s="149" t="s">
        <v>329</v>
      </c>
      <c r="C55" s="149" t="s">
        <v>330</v>
      </c>
      <c r="D55" s="149" t="s">
        <v>331</v>
      </c>
      <c r="E55" s="149" t="s">
        <v>332</v>
      </c>
      <c r="F55" s="149" t="s">
        <v>333</v>
      </c>
      <c r="G55" s="161" t="s">
        <v>334</v>
      </c>
    </row>
    <row r="56" spans="1:7" x14ac:dyDescent="0.25">
      <c r="A56" t="str">
        <f t="shared" ref="A56:A68" si="7">$A7</f>
        <v>Salidas a cenar/almorzar</v>
      </c>
      <c r="B56" s="155">
        <f t="shared" ref="B56:F68" si="8">B7-B38</f>
        <v>45000</v>
      </c>
      <c r="C56" s="155">
        <f t="shared" si="8"/>
        <v>138950.74</v>
      </c>
      <c r="D56" s="155">
        <f t="shared" si="8"/>
        <v>66180</v>
      </c>
      <c r="E56" s="155">
        <f t="shared" si="8"/>
        <v>5000</v>
      </c>
      <c r="F56" s="155">
        <f t="shared" si="8"/>
        <v>0</v>
      </c>
      <c r="G56" s="162">
        <f t="shared" ref="G56:G68" si="9">SUM(B56:F56)</f>
        <v>255130.74</v>
      </c>
    </row>
    <row r="57" spans="1:7" x14ac:dyDescent="0.25">
      <c r="A57" t="str">
        <f t="shared" si="7"/>
        <v>Juntadas a cenar/almorzar</v>
      </c>
      <c r="B57" s="155">
        <f t="shared" si="8"/>
        <v>0</v>
      </c>
      <c r="C57" s="155">
        <f t="shared" si="8"/>
        <v>0</v>
      </c>
      <c r="D57" s="155">
        <f t="shared" si="8"/>
        <v>26094.26999999999</v>
      </c>
      <c r="E57" s="155">
        <f t="shared" si="8"/>
        <v>60070</v>
      </c>
      <c r="F57" s="155">
        <f t="shared" si="8"/>
        <v>32500</v>
      </c>
      <c r="G57" s="162">
        <f t="shared" si="9"/>
        <v>118664.26999999999</v>
      </c>
    </row>
    <row r="58" spans="1:7" x14ac:dyDescent="0.25">
      <c r="A58" t="str">
        <f t="shared" si="7"/>
        <v>Salidas a desyunar/merendar</v>
      </c>
      <c r="B58" s="155">
        <f t="shared" si="8"/>
        <v>10000</v>
      </c>
      <c r="C58" s="155">
        <f t="shared" si="8"/>
        <v>0</v>
      </c>
      <c r="D58" s="155">
        <f t="shared" si="8"/>
        <v>0</v>
      </c>
      <c r="E58" s="155">
        <f t="shared" si="8"/>
        <v>8400</v>
      </c>
      <c r="F58" s="155">
        <f t="shared" si="8"/>
        <v>6700</v>
      </c>
      <c r="G58" s="162">
        <f t="shared" si="9"/>
        <v>25100</v>
      </c>
    </row>
    <row r="59" spans="1:7" x14ac:dyDescent="0.25">
      <c r="A59" t="str">
        <f t="shared" si="7"/>
        <v>Salidas a tomar algo</v>
      </c>
      <c r="B59" s="155">
        <f t="shared" si="8"/>
        <v>31500</v>
      </c>
      <c r="C59" s="155">
        <f t="shared" si="8"/>
        <v>0</v>
      </c>
      <c r="D59" s="155">
        <f t="shared" si="8"/>
        <v>13500</v>
      </c>
      <c r="E59" s="155">
        <f t="shared" si="8"/>
        <v>22000</v>
      </c>
      <c r="F59" s="155">
        <f t="shared" si="8"/>
        <v>0</v>
      </c>
      <c r="G59" s="162">
        <f t="shared" si="9"/>
        <v>67000</v>
      </c>
    </row>
    <row r="60" spans="1:7" x14ac:dyDescent="0.25">
      <c r="A60" t="str">
        <f t="shared" si="7"/>
        <v>Delivery</v>
      </c>
      <c r="B60" s="155">
        <f t="shared" si="8"/>
        <v>0</v>
      </c>
      <c r="C60" s="155">
        <f t="shared" si="8"/>
        <v>18000</v>
      </c>
      <c r="D60" s="155">
        <f t="shared" si="8"/>
        <v>0</v>
      </c>
      <c r="E60" s="155">
        <f t="shared" si="8"/>
        <v>0</v>
      </c>
      <c r="F60" s="155">
        <f t="shared" si="8"/>
        <v>0</v>
      </c>
      <c r="G60" s="162">
        <f t="shared" si="9"/>
        <v>18000</v>
      </c>
    </row>
    <row r="61" spans="1:7" x14ac:dyDescent="0.25">
      <c r="A61" t="str">
        <f t="shared" si="7"/>
        <v>Auto</v>
      </c>
      <c r="B61" s="155">
        <f t="shared" si="8"/>
        <v>50000</v>
      </c>
      <c r="C61" s="155">
        <f t="shared" si="8"/>
        <v>20000</v>
      </c>
      <c r="D61" s="155">
        <f t="shared" si="8"/>
        <v>0</v>
      </c>
      <c r="E61" s="155">
        <f t="shared" si="8"/>
        <v>25000</v>
      </c>
      <c r="F61" s="155">
        <f t="shared" si="8"/>
        <v>0</v>
      </c>
      <c r="G61" s="162">
        <f t="shared" si="9"/>
        <v>95000</v>
      </c>
    </row>
    <row r="62" spans="1:7" x14ac:dyDescent="0.25">
      <c r="A62" t="str">
        <f t="shared" si="7"/>
        <v>Regalos</v>
      </c>
      <c r="B62" s="155">
        <f t="shared" si="8"/>
        <v>0</v>
      </c>
      <c r="C62" s="155">
        <f t="shared" si="8"/>
        <v>0</v>
      </c>
      <c r="D62" s="155">
        <f t="shared" si="8"/>
        <v>-30000</v>
      </c>
      <c r="E62" s="155">
        <f t="shared" si="8"/>
        <v>33950</v>
      </c>
      <c r="F62" s="155">
        <f t="shared" si="8"/>
        <v>0</v>
      </c>
      <c r="G62" s="162">
        <f t="shared" si="9"/>
        <v>3950</v>
      </c>
    </row>
    <row r="63" spans="1:7" x14ac:dyDescent="0.25">
      <c r="A63" t="str">
        <f t="shared" si="7"/>
        <v>Fiestas</v>
      </c>
      <c r="B63" s="155">
        <f t="shared" si="8"/>
        <v>0</v>
      </c>
      <c r="C63" s="155">
        <f t="shared" si="8"/>
        <v>0</v>
      </c>
      <c r="D63" s="155">
        <f t="shared" si="8"/>
        <v>0</v>
      </c>
      <c r="E63" s="155">
        <f t="shared" si="8"/>
        <v>24600</v>
      </c>
      <c r="F63" s="155">
        <f t="shared" si="8"/>
        <v>0</v>
      </c>
      <c r="G63" s="162">
        <f t="shared" si="9"/>
        <v>24600</v>
      </c>
    </row>
    <row r="64" spans="1:7" x14ac:dyDescent="0.25">
      <c r="A64" t="str">
        <f t="shared" si="7"/>
        <v>Psicóloga</v>
      </c>
      <c r="B64" s="155">
        <f t="shared" si="8"/>
        <v>0</v>
      </c>
      <c r="C64" s="155">
        <f t="shared" si="8"/>
        <v>45000</v>
      </c>
      <c r="D64" s="155">
        <f t="shared" si="8"/>
        <v>0</v>
      </c>
      <c r="E64" s="155">
        <f t="shared" si="8"/>
        <v>45000</v>
      </c>
      <c r="F64" s="155">
        <f t="shared" si="8"/>
        <v>14614</v>
      </c>
      <c r="G64" s="162">
        <f t="shared" si="9"/>
        <v>104614</v>
      </c>
    </row>
    <row r="65" spans="1:7" x14ac:dyDescent="0.25">
      <c r="A65" t="str">
        <f t="shared" si="7"/>
        <v>Farmacia/Cosméticos</v>
      </c>
      <c r="B65" s="155">
        <f t="shared" si="8"/>
        <v>0</v>
      </c>
      <c r="C65" s="155">
        <f t="shared" si="8"/>
        <v>6686.31</v>
      </c>
      <c r="D65" s="155">
        <f t="shared" si="8"/>
        <v>0</v>
      </c>
      <c r="E65" s="155">
        <f t="shared" si="8"/>
        <v>0</v>
      </c>
      <c r="F65" s="155">
        <f t="shared" si="8"/>
        <v>0</v>
      </c>
      <c r="G65" s="162">
        <f t="shared" si="9"/>
        <v>6686.31</v>
      </c>
    </row>
    <row r="66" spans="1:7" x14ac:dyDescent="0.25">
      <c r="A66" t="str">
        <f t="shared" si="7"/>
        <v>Celular</v>
      </c>
      <c r="B66" s="155">
        <f t="shared" si="8"/>
        <v>0</v>
      </c>
      <c r="C66" s="155">
        <f t="shared" si="8"/>
        <v>7000</v>
      </c>
      <c r="D66" s="155">
        <f t="shared" si="8"/>
        <v>0</v>
      </c>
      <c r="E66" s="155">
        <f t="shared" si="8"/>
        <v>0</v>
      </c>
      <c r="F66" s="155">
        <f t="shared" si="8"/>
        <v>0</v>
      </c>
      <c r="G66" s="162">
        <f t="shared" si="9"/>
        <v>7000</v>
      </c>
    </row>
    <row r="67" spans="1:7" x14ac:dyDescent="0.25">
      <c r="A67" t="str">
        <f t="shared" si="7"/>
        <v>Pago monotributo</v>
      </c>
      <c r="B67" s="155">
        <f t="shared" si="8"/>
        <v>0</v>
      </c>
      <c r="C67" s="155">
        <f t="shared" si="8"/>
        <v>0</v>
      </c>
      <c r="D67" s="155">
        <f t="shared" si="8"/>
        <v>0</v>
      </c>
      <c r="E67" s="155">
        <f t="shared" si="8"/>
        <v>56379.08</v>
      </c>
      <c r="F67" s="155">
        <f t="shared" si="8"/>
        <v>0</v>
      </c>
      <c r="G67" s="162">
        <f t="shared" si="9"/>
        <v>56379.08</v>
      </c>
    </row>
    <row r="68" spans="1:7" x14ac:dyDescent="0.25">
      <c r="A68" t="str">
        <f t="shared" si="7"/>
        <v>Transferencias Jo</v>
      </c>
      <c r="B68" s="155">
        <f t="shared" si="8"/>
        <v>0</v>
      </c>
      <c r="C68" s="155">
        <f t="shared" si="8"/>
        <v>0</v>
      </c>
      <c r="D68" s="155">
        <f t="shared" si="8"/>
        <v>-25000</v>
      </c>
      <c r="E68" s="155">
        <f t="shared" si="8"/>
        <v>10000</v>
      </c>
      <c r="F68" s="155">
        <f t="shared" si="8"/>
        <v>0</v>
      </c>
      <c r="G68" s="162">
        <f t="shared" si="9"/>
        <v>-15000</v>
      </c>
    </row>
    <row r="69" spans="1:7" x14ac:dyDescent="0.25">
      <c r="A69" s="169" t="s">
        <v>346</v>
      </c>
      <c r="B69" s="170">
        <f t="shared" ref="B69:G69" si="10">SUM(B56:B68)</f>
        <v>136500</v>
      </c>
      <c r="C69" s="170">
        <f t="shared" si="10"/>
        <v>235637.05</v>
      </c>
      <c r="D69" s="170">
        <f t="shared" si="10"/>
        <v>50774.26999999999</v>
      </c>
      <c r="E69" s="170">
        <f t="shared" si="10"/>
        <v>290399.08</v>
      </c>
      <c r="F69" s="170">
        <f t="shared" si="10"/>
        <v>53814</v>
      </c>
      <c r="G69" s="171">
        <f t="shared" si="10"/>
        <v>767124.4</v>
      </c>
    </row>
    <row r="71" spans="1:7" x14ac:dyDescent="0.25">
      <c r="A71" s="154" t="s">
        <v>354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3E65-52CC-42B4-BD99-E9DFBF39220E}">
  <sheetPr codeName="Hoja5">
    <tabColor theme="7" tint="-0.249977111117893"/>
  </sheetPr>
  <dimension ref="A1:T22"/>
  <sheetViews>
    <sheetView workbookViewId="0">
      <pane ySplit="2" topLeftCell="A9" activePane="bottomLeft" state="frozen"/>
      <selection pane="bottomLeft" activeCell="D25" sqref="D25"/>
    </sheetView>
  </sheetViews>
  <sheetFormatPr baseColWidth="10" defaultRowHeight="15" x14ac:dyDescent="0.25"/>
  <cols>
    <col min="1" max="1" width="3.85546875" style="1" customWidth="1"/>
    <col min="2" max="2" width="20.42578125" bestFit="1" customWidth="1"/>
    <col min="3" max="3" width="7.5703125" bestFit="1" customWidth="1"/>
    <col min="5" max="5" width="12" bestFit="1" customWidth="1"/>
    <col min="16" max="16" width="2.85546875" customWidth="1"/>
    <col min="17" max="17" width="12" bestFit="1" customWidth="1"/>
    <col min="19" max="19" width="24.140625" bestFit="1" customWidth="1"/>
  </cols>
  <sheetData>
    <row r="1" spans="1:20" ht="15.75" thickBot="1" x14ac:dyDescent="0.3">
      <c r="A1" s="276" t="s">
        <v>30</v>
      </c>
      <c r="B1" s="276" t="s">
        <v>5</v>
      </c>
      <c r="C1" s="276" t="s">
        <v>71</v>
      </c>
      <c r="D1" s="276" t="s">
        <v>70</v>
      </c>
      <c r="E1" s="276" t="s">
        <v>73</v>
      </c>
      <c r="F1" s="276" t="s">
        <v>77</v>
      </c>
      <c r="G1" s="251" t="s">
        <v>323</v>
      </c>
      <c r="H1" s="251"/>
      <c r="I1" s="251"/>
      <c r="J1" s="251"/>
      <c r="K1" s="251"/>
      <c r="L1" s="251"/>
      <c r="M1" s="251"/>
      <c r="N1" s="251"/>
      <c r="O1" s="1"/>
      <c r="P1" s="45"/>
      <c r="Q1" s="45"/>
    </row>
    <row r="2" spans="1:20" ht="15.75" thickBot="1" x14ac:dyDescent="0.3">
      <c r="A2" s="277"/>
      <c r="B2" s="277"/>
      <c r="C2" s="277"/>
      <c r="D2" s="277"/>
      <c r="E2" s="277"/>
      <c r="F2" s="277"/>
      <c r="G2" s="48">
        <v>1</v>
      </c>
      <c r="H2" s="48">
        <v>2</v>
      </c>
      <c r="I2" s="48">
        <v>3</v>
      </c>
      <c r="J2" s="48">
        <v>4</v>
      </c>
      <c r="K2" s="48">
        <v>5</v>
      </c>
      <c r="L2" s="48">
        <v>6</v>
      </c>
      <c r="M2" s="48">
        <v>7</v>
      </c>
      <c r="N2" s="48">
        <v>8</v>
      </c>
      <c r="O2" s="1"/>
      <c r="P2" s="45"/>
      <c r="Q2" s="45" t="s">
        <v>70</v>
      </c>
    </row>
    <row r="3" spans="1:20" x14ac:dyDescent="0.25">
      <c r="A3" s="13">
        <v>1</v>
      </c>
      <c r="B3" s="17" t="s">
        <v>28</v>
      </c>
      <c r="C3" s="1" t="str">
        <f>IF(OR(F3=8,F3="Abandonó",F3="Única"),"No","Si")</f>
        <v>No</v>
      </c>
      <c r="D3" s="15">
        <v>1</v>
      </c>
      <c r="E3" s="2">
        <f>VLOOKUP(D3,$P$3:$Q$7,2,FALSE)</f>
        <v>10000</v>
      </c>
      <c r="F3" s="1">
        <f t="shared" ref="F3:F4" si="0">COUNTA(G3:N3)</f>
        <v>8</v>
      </c>
      <c r="G3" s="142">
        <v>46084</v>
      </c>
      <c r="H3" s="142">
        <v>46094</v>
      </c>
      <c r="I3" s="142">
        <v>46102</v>
      </c>
      <c r="J3" s="142">
        <v>46108</v>
      </c>
      <c r="K3" s="142">
        <v>46114</v>
      </c>
      <c r="L3" s="142">
        <v>46121</v>
      </c>
      <c r="M3" s="142">
        <v>46128</v>
      </c>
      <c r="N3" s="142">
        <v>46135</v>
      </c>
      <c r="O3" s="15"/>
      <c r="P3" s="13">
        <v>1</v>
      </c>
      <c r="Q3" s="3">
        <v>10000</v>
      </c>
      <c r="S3" s="239" t="s">
        <v>442</v>
      </c>
      <c r="T3" s="240">
        <f>COUNTIF($F$3:$F$21,"8")</f>
        <v>10</v>
      </c>
    </row>
    <row r="4" spans="1:20" x14ac:dyDescent="0.25">
      <c r="A4" s="13">
        <v>2</v>
      </c>
      <c r="B4" s="17" t="s">
        <v>6</v>
      </c>
      <c r="C4" s="1" t="str">
        <f t="shared" ref="C4:C19" si="1">IF(OR(F4=8,F4="Abandonó",F4="Única"),"No","Si")</f>
        <v>No</v>
      </c>
      <c r="D4" s="1">
        <v>1</v>
      </c>
      <c r="E4" s="2">
        <f t="shared" ref="E4:E15" si="2">VLOOKUP(D4,$P$3:$Q$7,2,FALSE)</f>
        <v>10000</v>
      </c>
      <c r="F4" s="1">
        <f t="shared" si="0"/>
        <v>8</v>
      </c>
      <c r="G4" s="142">
        <v>46086</v>
      </c>
      <c r="H4" s="142">
        <v>46095</v>
      </c>
      <c r="I4" s="142">
        <v>46102</v>
      </c>
      <c r="J4" s="142">
        <v>46109</v>
      </c>
      <c r="K4" s="142">
        <v>46115</v>
      </c>
      <c r="L4" s="142">
        <v>46122</v>
      </c>
      <c r="M4" s="142">
        <v>46129</v>
      </c>
      <c r="N4" s="142">
        <v>46136</v>
      </c>
      <c r="O4" s="1"/>
      <c r="P4" s="13">
        <v>2</v>
      </c>
      <c r="Q4" s="3">
        <v>10500</v>
      </c>
      <c r="S4" s="241" t="s">
        <v>443</v>
      </c>
      <c r="T4" s="6">
        <f>COUNTIF($F$3:$F$21,"Abandonó")</f>
        <v>4</v>
      </c>
    </row>
    <row r="5" spans="1:20" x14ac:dyDescent="0.25">
      <c r="A5" s="13">
        <v>3</v>
      </c>
      <c r="B5" s="17" t="s">
        <v>7</v>
      </c>
      <c r="C5" s="1" t="str">
        <f t="shared" si="1"/>
        <v>No</v>
      </c>
      <c r="D5" s="1">
        <v>2</v>
      </c>
      <c r="E5" s="2">
        <f t="shared" si="2"/>
        <v>10500</v>
      </c>
      <c r="F5" s="1" t="s">
        <v>72</v>
      </c>
      <c r="G5" s="142">
        <v>46112</v>
      </c>
      <c r="H5" s="142">
        <v>46127</v>
      </c>
      <c r="I5" s="142">
        <v>46141</v>
      </c>
      <c r="J5" s="142"/>
      <c r="K5" s="142"/>
      <c r="L5" s="142"/>
      <c r="M5" s="142"/>
      <c r="N5" s="142"/>
      <c r="O5" s="1"/>
      <c r="P5" s="13">
        <v>3</v>
      </c>
      <c r="Q5" s="3">
        <v>11500</v>
      </c>
      <c r="S5" s="241" t="s">
        <v>445</v>
      </c>
      <c r="T5" s="6">
        <f>COUNTIF($F$3:$F$21,"Única")</f>
        <v>1</v>
      </c>
    </row>
    <row r="6" spans="1:20" ht="15.75" thickBot="1" x14ac:dyDescent="0.3">
      <c r="A6" s="13">
        <v>4</v>
      </c>
      <c r="B6" s="17" t="s">
        <v>2</v>
      </c>
      <c r="C6" s="1" t="str">
        <f t="shared" si="1"/>
        <v>No</v>
      </c>
      <c r="D6" s="1">
        <v>2</v>
      </c>
      <c r="E6" s="2">
        <f t="shared" si="2"/>
        <v>10500</v>
      </c>
      <c r="F6" s="1">
        <f>COUNTA(G6:N6)</f>
        <v>8</v>
      </c>
      <c r="G6" s="142">
        <v>46118</v>
      </c>
      <c r="H6" s="142">
        <v>46125</v>
      </c>
      <c r="I6" s="142">
        <v>46132</v>
      </c>
      <c r="J6" s="142">
        <v>46143</v>
      </c>
      <c r="K6" s="142">
        <v>46150</v>
      </c>
      <c r="L6" s="142">
        <v>46157</v>
      </c>
      <c r="M6" s="142">
        <v>46164</v>
      </c>
      <c r="N6" s="142">
        <v>46178</v>
      </c>
      <c r="O6" s="1"/>
      <c r="P6" s="13">
        <v>4</v>
      </c>
      <c r="Q6" s="3">
        <v>15000</v>
      </c>
      <c r="S6" s="241" t="s">
        <v>444</v>
      </c>
      <c r="T6" s="6">
        <f>COUNTIF($F$3:$F$21,"&lt;8")</f>
        <v>4</v>
      </c>
    </row>
    <row r="7" spans="1:20" ht="15.75" thickBot="1" x14ac:dyDescent="0.3">
      <c r="A7" s="13">
        <v>5</v>
      </c>
      <c r="B7" s="17" t="s">
        <v>9</v>
      </c>
      <c r="C7" s="1" t="str">
        <f t="shared" si="1"/>
        <v>No</v>
      </c>
      <c r="D7" s="1">
        <v>2</v>
      </c>
      <c r="E7" s="2">
        <f t="shared" si="2"/>
        <v>10500</v>
      </c>
      <c r="F7" s="1">
        <f>COUNTA(G7:N7)</f>
        <v>8</v>
      </c>
      <c r="G7" s="142">
        <v>46121</v>
      </c>
      <c r="H7" s="142">
        <v>46128</v>
      </c>
      <c r="I7" s="142">
        <v>46135</v>
      </c>
      <c r="J7" s="142">
        <v>46142</v>
      </c>
      <c r="K7" s="142">
        <v>46149</v>
      </c>
      <c r="L7" s="142">
        <v>46156</v>
      </c>
      <c r="M7" s="142">
        <v>46163</v>
      </c>
      <c r="N7" s="142">
        <v>46177</v>
      </c>
      <c r="O7" s="1"/>
      <c r="P7" s="13">
        <v>5</v>
      </c>
      <c r="Q7" s="3">
        <v>17000</v>
      </c>
      <c r="S7" s="242" t="s">
        <v>82</v>
      </c>
      <c r="T7" s="243">
        <f>SUM(T3:T6)</f>
        <v>19</v>
      </c>
    </row>
    <row r="8" spans="1:20" x14ac:dyDescent="0.25">
      <c r="A8" s="13">
        <v>6</v>
      </c>
      <c r="B8" s="17" t="s">
        <v>4</v>
      </c>
      <c r="C8" s="1" t="str">
        <f t="shared" si="1"/>
        <v>No</v>
      </c>
      <c r="D8" s="1">
        <v>2</v>
      </c>
      <c r="E8" s="2">
        <f t="shared" si="2"/>
        <v>10500</v>
      </c>
      <c r="F8" s="1" t="s">
        <v>29</v>
      </c>
      <c r="G8" s="142">
        <v>46119</v>
      </c>
      <c r="H8" s="142"/>
      <c r="I8" s="142"/>
      <c r="J8" s="142"/>
      <c r="K8" s="142"/>
      <c r="L8" s="142"/>
      <c r="M8" s="142"/>
      <c r="N8" s="142"/>
      <c r="O8" s="1"/>
      <c r="P8" s="13">
        <v>6</v>
      </c>
      <c r="Q8" s="3">
        <v>20000</v>
      </c>
    </row>
    <row r="9" spans="1:20" x14ac:dyDescent="0.25">
      <c r="A9" s="13">
        <v>7</v>
      </c>
      <c r="B9" s="17" t="s">
        <v>8</v>
      </c>
      <c r="C9" s="1" t="str">
        <f t="shared" si="1"/>
        <v>No</v>
      </c>
      <c r="D9" s="1">
        <v>2</v>
      </c>
      <c r="E9" s="2">
        <f t="shared" si="2"/>
        <v>10500</v>
      </c>
      <c r="F9" s="1" t="s">
        <v>72</v>
      </c>
      <c r="G9" s="142">
        <v>46095</v>
      </c>
      <c r="H9" s="142"/>
      <c r="I9" s="142"/>
      <c r="J9" s="142"/>
      <c r="K9" s="142"/>
      <c r="L9" s="142"/>
      <c r="M9" s="142"/>
      <c r="N9" s="142"/>
      <c r="O9" s="1"/>
      <c r="P9" s="13">
        <v>7</v>
      </c>
      <c r="Q9" s="3">
        <v>21000</v>
      </c>
    </row>
    <row r="10" spans="1:20" x14ac:dyDescent="0.25">
      <c r="A10" s="13">
        <v>8</v>
      </c>
      <c r="B10" s="17" t="s">
        <v>33</v>
      </c>
      <c r="C10" s="1" t="str">
        <f t="shared" si="1"/>
        <v>No</v>
      </c>
      <c r="D10" s="1">
        <v>2</v>
      </c>
      <c r="E10" s="2">
        <f t="shared" si="2"/>
        <v>10500</v>
      </c>
      <c r="F10" s="1">
        <f>COUNTA(G10:N10)</f>
        <v>8</v>
      </c>
      <c r="G10" s="142">
        <v>46140</v>
      </c>
      <c r="H10" s="142">
        <v>46156</v>
      </c>
      <c r="I10" s="142">
        <v>46163</v>
      </c>
      <c r="J10" s="142">
        <v>46177</v>
      </c>
      <c r="K10" s="142">
        <v>46184</v>
      </c>
      <c r="L10" s="142">
        <v>46191</v>
      </c>
      <c r="M10" s="142">
        <v>46212</v>
      </c>
      <c r="N10" s="142">
        <v>46226</v>
      </c>
      <c r="O10" s="1"/>
    </row>
    <row r="11" spans="1:20" x14ac:dyDescent="0.25">
      <c r="A11" s="13">
        <v>9</v>
      </c>
      <c r="B11" s="17" t="s">
        <v>34</v>
      </c>
      <c r="C11" s="1" t="str">
        <f t="shared" si="1"/>
        <v>No</v>
      </c>
      <c r="D11" s="1">
        <v>3</v>
      </c>
      <c r="E11" s="2">
        <f t="shared" si="2"/>
        <v>11500</v>
      </c>
      <c r="F11" s="1">
        <f>COUNTA(G11:N11)</f>
        <v>8</v>
      </c>
      <c r="G11" s="142">
        <v>46149</v>
      </c>
      <c r="H11" s="142">
        <v>46153</v>
      </c>
      <c r="I11" s="142">
        <v>46169</v>
      </c>
      <c r="J11" s="142">
        <v>46174</v>
      </c>
      <c r="K11" s="142">
        <v>46189</v>
      </c>
      <c r="L11" s="142">
        <v>46203</v>
      </c>
      <c r="M11" s="142">
        <v>46216</v>
      </c>
      <c r="N11" s="142">
        <v>46230</v>
      </c>
      <c r="O11" s="1"/>
    </row>
    <row r="12" spans="1:20" x14ac:dyDescent="0.25">
      <c r="A12" s="13">
        <v>10</v>
      </c>
      <c r="B12" s="17" t="s">
        <v>67</v>
      </c>
      <c r="C12" s="1" t="str">
        <f t="shared" si="1"/>
        <v>No</v>
      </c>
      <c r="D12" s="1">
        <v>4</v>
      </c>
      <c r="E12" s="2">
        <f t="shared" si="2"/>
        <v>15000</v>
      </c>
      <c r="F12" s="1" t="s">
        <v>72</v>
      </c>
      <c r="G12" s="142">
        <v>46176</v>
      </c>
      <c r="H12" s="142">
        <v>46183</v>
      </c>
      <c r="I12" s="142">
        <v>46190</v>
      </c>
      <c r="J12" s="142"/>
      <c r="K12" s="142"/>
      <c r="L12" s="142"/>
      <c r="M12" s="142"/>
      <c r="N12" s="142"/>
      <c r="O12" s="1"/>
    </row>
    <row r="13" spans="1:20" x14ac:dyDescent="0.25">
      <c r="A13" s="13">
        <v>11</v>
      </c>
      <c r="B13" s="17" t="s">
        <v>68</v>
      </c>
      <c r="C13" s="1" t="str">
        <f t="shared" si="1"/>
        <v>No</v>
      </c>
      <c r="D13" s="1">
        <v>5</v>
      </c>
      <c r="E13" s="2">
        <f t="shared" si="2"/>
        <v>17000</v>
      </c>
      <c r="F13" s="1">
        <f>COUNTA(G13:N13)</f>
        <v>8</v>
      </c>
      <c r="G13" s="142">
        <v>46176</v>
      </c>
      <c r="H13" s="142">
        <v>46181</v>
      </c>
      <c r="I13" s="142">
        <v>46190</v>
      </c>
      <c r="J13" s="142">
        <v>46197</v>
      </c>
      <c r="K13" s="142">
        <v>46232</v>
      </c>
      <c r="L13" s="142">
        <v>46216</v>
      </c>
      <c r="M13" s="142">
        <v>46223</v>
      </c>
      <c r="N13" s="142">
        <v>46244</v>
      </c>
      <c r="O13" s="1"/>
    </row>
    <row r="14" spans="1:20" x14ac:dyDescent="0.25">
      <c r="A14" s="20">
        <v>12</v>
      </c>
      <c r="B14" s="21" t="s">
        <v>101</v>
      </c>
      <c r="C14" s="20" t="str">
        <f t="shared" si="1"/>
        <v>No</v>
      </c>
      <c r="D14" s="20">
        <v>5</v>
      </c>
      <c r="E14" s="22">
        <f t="shared" si="2"/>
        <v>17000</v>
      </c>
      <c r="F14" s="1">
        <f t="shared" ref="F14:F22" si="3">COUNTA(G14:N14)</f>
        <v>8</v>
      </c>
      <c r="G14" s="143">
        <v>46182</v>
      </c>
      <c r="H14" s="143">
        <v>46195</v>
      </c>
      <c r="I14" s="143">
        <v>46209</v>
      </c>
      <c r="J14" s="143">
        <v>46223</v>
      </c>
      <c r="K14" s="143">
        <v>46238</v>
      </c>
      <c r="L14" s="143">
        <v>46251</v>
      </c>
      <c r="M14" s="143">
        <v>46255</v>
      </c>
      <c r="N14" s="143">
        <v>46265</v>
      </c>
    </row>
    <row r="15" spans="1:20" x14ac:dyDescent="0.25">
      <c r="A15" s="1">
        <v>13</v>
      </c>
      <c r="B15" s="17" t="s">
        <v>102</v>
      </c>
      <c r="C15" s="20" t="str">
        <f t="shared" si="1"/>
        <v>Si</v>
      </c>
      <c r="D15" s="1">
        <v>5</v>
      </c>
      <c r="E15" s="2">
        <f t="shared" si="2"/>
        <v>17000</v>
      </c>
      <c r="F15" s="1">
        <f t="shared" si="3"/>
        <v>7</v>
      </c>
      <c r="G15" s="142">
        <v>46184</v>
      </c>
      <c r="H15" s="142">
        <v>46191</v>
      </c>
      <c r="I15" s="142">
        <v>46205</v>
      </c>
      <c r="J15" s="142">
        <v>46219</v>
      </c>
      <c r="K15" s="142">
        <v>46233</v>
      </c>
      <c r="L15" s="142">
        <v>46254</v>
      </c>
      <c r="M15" s="142">
        <v>46268</v>
      </c>
      <c r="N15" s="1"/>
    </row>
    <row r="16" spans="1:20" x14ac:dyDescent="0.25">
      <c r="A16" s="1">
        <v>14</v>
      </c>
      <c r="B16" s="17" t="s">
        <v>103</v>
      </c>
      <c r="C16" s="20" t="str">
        <f t="shared" si="1"/>
        <v>No</v>
      </c>
      <c r="D16" s="1">
        <v>6</v>
      </c>
      <c r="E16" s="2">
        <f>VLOOKUP(D16,$P$3:$Q$8,2,FALSE)</f>
        <v>20000</v>
      </c>
      <c r="F16" s="1">
        <f t="shared" si="3"/>
        <v>8</v>
      </c>
      <c r="G16" s="142">
        <v>46189</v>
      </c>
      <c r="H16" s="142">
        <v>46192</v>
      </c>
      <c r="I16" s="142">
        <v>46197</v>
      </c>
      <c r="J16" s="142">
        <v>46202</v>
      </c>
      <c r="K16" s="142">
        <v>46210</v>
      </c>
      <c r="L16" s="142">
        <v>46216</v>
      </c>
      <c r="M16" s="142">
        <v>46234</v>
      </c>
      <c r="N16" s="142">
        <v>46248</v>
      </c>
    </row>
    <row r="17" spans="1:14" x14ac:dyDescent="0.25">
      <c r="A17" s="1">
        <v>15</v>
      </c>
      <c r="B17" s="17" t="s">
        <v>200</v>
      </c>
      <c r="C17" s="20" t="str">
        <f t="shared" si="1"/>
        <v>No</v>
      </c>
      <c r="D17" s="1">
        <v>6</v>
      </c>
      <c r="E17" s="2">
        <f>VLOOKUP(D17,$P$3:$Q$8,2,FALSE)</f>
        <v>20000</v>
      </c>
      <c r="F17" s="1">
        <f t="shared" si="3"/>
        <v>8</v>
      </c>
      <c r="G17" s="142">
        <v>46210</v>
      </c>
      <c r="H17" s="142">
        <v>46217</v>
      </c>
      <c r="I17" s="142">
        <v>46226</v>
      </c>
      <c r="J17" s="142">
        <v>46233</v>
      </c>
      <c r="K17" s="142">
        <v>46238</v>
      </c>
      <c r="L17" s="142">
        <v>46254</v>
      </c>
      <c r="M17" s="142">
        <v>46259</v>
      </c>
      <c r="N17" s="142">
        <v>46268</v>
      </c>
    </row>
    <row r="18" spans="1:14" x14ac:dyDescent="0.25">
      <c r="A18" s="1">
        <v>16</v>
      </c>
      <c r="B18" s="17" t="s">
        <v>205</v>
      </c>
      <c r="C18" s="20" t="str">
        <f t="shared" si="1"/>
        <v>No</v>
      </c>
      <c r="D18" s="1">
        <v>7</v>
      </c>
      <c r="E18" s="2">
        <f>VLOOKUP(D18,$P$3:$Q$9,2,FALSE)</f>
        <v>21000</v>
      </c>
      <c r="F18" s="1" t="s">
        <v>72</v>
      </c>
      <c r="G18" s="142">
        <v>46217</v>
      </c>
      <c r="H18" s="1"/>
      <c r="I18" s="1"/>
      <c r="J18" s="1"/>
      <c r="K18" s="1"/>
      <c r="L18" s="1"/>
      <c r="M18" s="1"/>
      <c r="N18" s="1"/>
    </row>
    <row r="19" spans="1:14" x14ac:dyDescent="0.25">
      <c r="A19" s="1">
        <v>17</v>
      </c>
      <c r="B19" s="17" t="s">
        <v>259</v>
      </c>
      <c r="C19" s="20" t="str">
        <f t="shared" si="1"/>
        <v>Si</v>
      </c>
      <c r="D19" s="1">
        <v>7</v>
      </c>
      <c r="E19" s="2">
        <f>VLOOKUP(D19,$P$3:$Q$9,2,FALSE)</f>
        <v>21000</v>
      </c>
      <c r="F19" s="1">
        <f t="shared" si="3"/>
        <v>2</v>
      </c>
      <c r="G19" s="142">
        <v>46241</v>
      </c>
      <c r="H19" s="142">
        <v>46254</v>
      </c>
      <c r="I19" s="1"/>
      <c r="J19" s="1"/>
      <c r="K19" s="1"/>
      <c r="L19" s="1"/>
      <c r="M19" s="1"/>
      <c r="N19" s="1"/>
    </row>
    <row r="20" spans="1:14" x14ac:dyDescent="0.25">
      <c r="A20" s="1">
        <v>18</v>
      </c>
      <c r="B20" s="17" t="s">
        <v>265</v>
      </c>
      <c r="C20" s="20" t="str">
        <f t="shared" ref="C20" si="4">IF(OR(F20=8,F20="Abandonó",F20="Única"),"No","Si")</f>
        <v>Si</v>
      </c>
      <c r="D20" s="1">
        <v>7</v>
      </c>
      <c r="E20" s="2">
        <f>VLOOKUP(D20,$P$3:$Q$9,2,FALSE)</f>
        <v>21000</v>
      </c>
      <c r="F20" s="1">
        <f t="shared" si="3"/>
        <v>7</v>
      </c>
      <c r="G20" s="142">
        <v>46241</v>
      </c>
      <c r="H20" s="142">
        <v>46245</v>
      </c>
      <c r="I20" s="142">
        <v>46251</v>
      </c>
      <c r="J20" s="142">
        <v>46258</v>
      </c>
      <c r="K20" s="142">
        <v>46265</v>
      </c>
      <c r="L20" s="142">
        <v>46272</v>
      </c>
      <c r="M20" s="142">
        <v>46279</v>
      </c>
      <c r="N20" s="1"/>
    </row>
    <row r="21" spans="1:14" x14ac:dyDescent="0.25">
      <c r="A21" s="1">
        <v>19</v>
      </c>
      <c r="B21" s="17" t="s">
        <v>282</v>
      </c>
      <c r="C21" s="20" t="str">
        <f t="shared" ref="C21:C22" si="5">IF(OR(F21=8,F21="Abandonó",F21="Única"),"No","Si")</f>
        <v>Si</v>
      </c>
      <c r="D21" s="1">
        <v>7</v>
      </c>
      <c r="E21" s="2">
        <f>VLOOKUP(D21,$P$3:$Q$9,2,FALSE)</f>
        <v>21000</v>
      </c>
      <c r="F21" s="1">
        <f t="shared" si="3"/>
        <v>5</v>
      </c>
      <c r="G21" s="142">
        <v>46244</v>
      </c>
      <c r="H21" s="142">
        <v>46251</v>
      </c>
      <c r="I21" s="142">
        <v>46259</v>
      </c>
      <c r="J21" s="142">
        <v>46265</v>
      </c>
      <c r="K21" s="142">
        <v>46272</v>
      </c>
      <c r="L21" s="1"/>
      <c r="M21" s="1"/>
      <c r="N21" s="1"/>
    </row>
    <row r="22" spans="1:14" x14ac:dyDescent="0.25">
      <c r="A22" s="1">
        <v>20</v>
      </c>
      <c r="B22" s="17" t="s">
        <v>460</v>
      </c>
      <c r="C22" s="20" t="str">
        <f t="shared" si="5"/>
        <v>Si</v>
      </c>
      <c r="D22" s="1">
        <v>7</v>
      </c>
      <c r="E22" s="2">
        <f>VLOOKUP(D22,$P$3:$Q$9,2,FALSE)</f>
        <v>21000</v>
      </c>
      <c r="F22" s="1">
        <f t="shared" si="3"/>
        <v>1</v>
      </c>
      <c r="G22" s="142">
        <v>46276</v>
      </c>
    </row>
  </sheetData>
  <mergeCells count="7">
    <mergeCell ref="G1:N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AF57-4DE5-4097-BEF1-D70B83351BF9}">
  <sheetPr codeName="Hoja6">
    <tabColor theme="7" tint="0.59999389629810485"/>
  </sheetPr>
  <dimension ref="A1:AA41"/>
  <sheetViews>
    <sheetView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R28" sqref="R28"/>
    </sheetView>
  </sheetViews>
  <sheetFormatPr baseColWidth="10" defaultRowHeight="15" x14ac:dyDescent="0.25"/>
  <cols>
    <col min="1" max="1" width="15.5703125" bestFit="1" customWidth="1"/>
    <col min="2" max="2" width="13" bestFit="1" customWidth="1"/>
    <col min="4" max="4" width="13.7109375" bestFit="1" customWidth="1"/>
    <col min="5" max="5" width="14.28515625" bestFit="1" customWidth="1"/>
    <col min="6" max="6" width="17.140625" bestFit="1" customWidth="1"/>
    <col min="7" max="7" width="11.42578125" hidden="1" customWidth="1"/>
    <col min="8" max="8" width="8.7109375" hidden="1" customWidth="1"/>
    <col min="9" max="9" width="13.7109375" bestFit="1" customWidth="1"/>
    <col min="13" max="13" width="12.5703125" customWidth="1"/>
    <col min="14" max="15" width="0" hidden="1" customWidth="1"/>
    <col min="20" max="20" width="11.5703125" bestFit="1" customWidth="1"/>
    <col min="21" max="22" width="0" hidden="1" customWidth="1"/>
  </cols>
  <sheetData>
    <row r="1" spans="1:27" x14ac:dyDescent="0.25">
      <c r="B1" s="280" t="s">
        <v>35</v>
      </c>
      <c r="C1" s="281"/>
      <c r="D1" s="281"/>
      <c r="E1" s="281"/>
      <c r="F1" s="281"/>
      <c r="G1" s="281"/>
      <c r="H1" s="282"/>
      <c r="I1" s="280" t="s">
        <v>36</v>
      </c>
      <c r="J1" s="281"/>
      <c r="K1" s="281"/>
      <c r="L1" s="281"/>
      <c r="M1" s="281"/>
      <c r="N1" s="281"/>
      <c r="O1" s="282"/>
      <c r="P1" s="280" t="s">
        <v>37</v>
      </c>
      <c r="Q1" s="281"/>
      <c r="R1" s="281"/>
      <c r="S1" s="281"/>
      <c r="T1" s="281"/>
      <c r="U1" s="281"/>
      <c r="V1" s="282"/>
      <c r="W1" s="280" t="s">
        <v>38</v>
      </c>
      <c r="X1" s="281"/>
      <c r="Y1" s="281"/>
      <c r="Z1" s="281"/>
      <c r="AA1" s="282"/>
    </row>
    <row r="2" spans="1:27" x14ac:dyDescent="0.25">
      <c r="B2" s="4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5" t="s">
        <v>27</v>
      </c>
      <c r="I2" s="4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5" t="s">
        <v>27</v>
      </c>
      <c r="P2" s="4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5" t="s">
        <v>27</v>
      </c>
      <c r="W2" s="4" t="s">
        <v>21</v>
      </c>
      <c r="X2" s="1" t="s">
        <v>22</v>
      </c>
      <c r="Y2" s="1" t="s">
        <v>23</v>
      </c>
      <c r="Z2" s="1" t="s">
        <v>24</v>
      </c>
      <c r="AA2" s="5" t="s">
        <v>25</v>
      </c>
    </row>
    <row r="3" spans="1:27" ht="15.75" thickBot="1" x14ac:dyDescent="0.3">
      <c r="A3" s="7"/>
      <c r="B3" s="8">
        <v>2</v>
      </c>
      <c r="C3" s="9">
        <v>3</v>
      </c>
      <c r="D3" s="9">
        <v>4</v>
      </c>
      <c r="E3" s="9">
        <v>5</v>
      </c>
      <c r="F3" s="9">
        <v>6</v>
      </c>
      <c r="G3" s="9">
        <v>7</v>
      </c>
      <c r="H3" s="8">
        <v>8</v>
      </c>
      <c r="I3" s="8">
        <v>10</v>
      </c>
      <c r="J3" s="9">
        <v>11</v>
      </c>
      <c r="K3" s="9">
        <v>12</v>
      </c>
      <c r="L3" s="9">
        <v>13</v>
      </c>
      <c r="M3" s="9">
        <v>14</v>
      </c>
      <c r="N3" s="9">
        <v>15</v>
      </c>
      <c r="O3" s="8">
        <v>16</v>
      </c>
      <c r="P3" s="8">
        <v>17</v>
      </c>
      <c r="Q3" s="9">
        <v>18</v>
      </c>
      <c r="R3" s="9">
        <v>19</v>
      </c>
      <c r="S3" s="9">
        <v>20</v>
      </c>
      <c r="T3" s="9">
        <v>21</v>
      </c>
      <c r="U3" s="8">
        <v>22</v>
      </c>
      <c r="V3" s="9">
        <v>23</v>
      </c>
      <c r="W3" s="8">
        <v>24</v>
      </c>
      <c r="X3" s="9">
        <v>25</v>
      </c>
      <c r="Y3" s="9">
        <v>26</v>
      </c>
      <c r="Z3" s="9">
        <v>27</v>
      </c>
      <c r="AA3" s="10">
        <v>28</v>
      </c>
    </row>
    <row r="4" spans="1:27" x14ac:dyDescent="0.25">
      <c r="A4" t="s">
        <v>40</v>
      </c>
      <c r="B4" s="25"/>
      <c r="C4" s="26"/>
      <c r="D4" s="26"/>
      <c r="E4" s="27"/>
      <c r="F4" s="26"/>
      <c r="G4" s="26"/>
      <c r="H4" s="28"/>
      <c r="I4" s="25"/>
      <c r="J4" s="26"/>
      <c r="K4" s="26"/>
      <c r="L4" s="26"/>
      <c r="M4" s="26"/>
      <c r="N4" s="26"/>
      <c r="O4" s="28"/>
      <c r="P4" s="25"/>
      <c r="Q4" s="26"/>
      <c r="R4" s="26"/>
      <c r="S4" s="26"/>
      <c r="T4" s="26"/>
      <c r="U4" s="26"/>
      <c r="V4" s="28"/>
      <c r="W4" s="25"/>
      <c r="X4" s="26"/>
      <c r="Y4" s="26"/>
      <c r="Z4" s="26"/>
      <c r="AA4" s="28"/>
    </row>
    <row r="5" spans="1:27" x14ac:dyDescent="0.25">
      <c r="A5" t="s">
        <v>41</v>
      </c>
      <c r="B5" s="25"/>
      <c r="C5" s="26"/>
      <c r="D5" s="26"/>
      <c r="E5" s="29"/>
      <c r="F5" s="29"/>
      <c r="G5" s="26"/>
      <c r="H5" s="28"/>
      <c r="I5" s="25"/>
      <c r="J5" s="26"/>
      <c r="K5" s="26"/>
      <c r="L5" s="26"/>
      <c r="M5" s="26"/>
      <c r="N5" s="26"/>
      <c r="O5" s="28"/>
      <c r="P5" s="25"/>
      <c r="Q5" s="26"/>
      <c r="R5" s="26"/>
      <c r="S5" s="26"/>
      <c r="T5" s="26"/>
      <c r="U5" s="26"/>
      <c r="V5" s="28"/>
      <c r="W5" s="25"/>
      <c r="X5" s="26"/>
      <c r="Y5" s="26"/>
      <c r="Z5" s="26"/>
      <c r="AA5" s="28"/>
    </row>
    <row r="6" spans="1:27" x14ac:dyDescent="0.25">
      <c r="A6" t="s">
        <v>42</v>
      </c>
      <c r="B6" s="25"/>
      <c r="C6" s="26"/>
      <c r="D6" s="29"/>
      <c r="E6" s="29"/>
      <c r="F6" s="29"/>
      <c r="G6" s="26"/>
      <c r="H6" s="28"/>
      <c r="I6" s="30"/>
      <c r="J6" s="26"/>
      <c r="K6" s="26"/>
      <c r="L6" s="26"/>
      <c r="M6" s="26"/>
      <c r="N6" s="26"/>
      <c r="O6" s="28"/>
      <c r="P6" s="25"/>
      <c r="Q6" s="26"/>
      <c r="R6" s="26"/>
      <c r="S6" s="26"/>
      <c r="T6" s="26"/>
      <c r="U6" s="26"/>
      <c r="V6" s="28"/>
      <c r="W6" s="25"/>
      <c r="X6" s="26"/>
      <c r="Y6" s="26"/>
      <c r="Z6" s="26"/>
      <c r="AA6" s="28"/>
    </row>
    <row r="7" spans="1:27" x14ac:dyDescent="0.25">
      <c r="A7" t="s">
        <v>43</v>
      </c>
      <c r="B7" s="25"/>
      <c r="C7" s="26"/>
      <c r="D7" s="29"/>
      <c r="E7" s="29"/>
      <c r="F7" s="26"/>
      <c r="G7" s="26"/>
      <c r="H7" s="28"/>
      <c r="I7" s="30"/>
      <c r="J7" s="26"/>
      <c r="K7" s="26"/>
      <c r="L7" s="26"/>
      <c r="M7" s="278" t="s">
        <v>6</v>
      </c>
      <c r="N7" s="26"/>
      <c r="O7" s="28"/>
      <c r="P7" s="25"/>
      <c r="Q7" s="26"/>
      <c r="R7" s="26"/>
      <c r="S7" s="26"/>
      <c r="T7" s="278" t="s">
        <v>6</v>
      </c>
      <c r="U7" s="26"/>
      <c r="V7" s="28"/>
      <c r="W7" s="25"/>
      <c r="X7" s="26"/>
      <c r="Y7" s="26"/>
      <c r="Z7" s="26"/>
      <c r="AA7" s="278" t="s">
        <v>6</v>
      </c>
    </row>
    <row r="8" spans="1:27" x14ac:dyDescent="0.25">
      <c r="A8" t="s">
        <v>65</v>
      </c>
      <c r="B8" s="25"/>
      <c r="C8" s="26"/>
      <c r="D8" s="26"/>
      <c r="E8" s="26"/>
      <c r="F8" s="26"/>
      <c r="G8" s="26"/>
      <c r="H8" s="28"/>
      <c r="I8" s="25"/>
      <c r="J8" s="26"/>
      <c r="K8" s="26"/>
      <c r="L8" s="26"/>
      <c r="M8" s="279"/>
      <c r="N8" s="26"/>
      <c r="O8" s="28"/>
      <c r="P8" s="25"/>
      <c r="Q8" s="26"/>
      <c r="R8" s="26"/>
      <c r="S8" s="26"/>
      <c r="T8" s="279"/>
      <c r="U8" s="26"/>
      <c r="V8" s="28"/>
      <c r="W8" s="25"/>
      <c r="X8" s="26"/>
      <c r="Y8" s="26"/>
      <c r="Z8" s="26"/>
      <c r="AA8" s="279"/>
    </row>
    <row r="9" spans="1:27" x14ac:dyDescent="0.25">
      <c r="A9" t="s">
        <v>66</v>
      </c>
      <c r="B9" s="25"/>
      <c r="C9" s="26"/>
      <c r="D9" s="26"/>
      <c r="E9" s="26"/>
      <c r="F9" s="26"/>
      <c r="G9" s="26"/>
      <c r="H9" s="28"/>
      <c r="I9" s="25"/>
      <c r="J9" s="26"/>
      <c r="K9" s="26"/>
      <c r="L9" s="26"/>
      <c r="M9" s="26"/>
      <c r="N9" s="26"/>
      <c r="O9" s="28"/>
      <c r="P9" s="25"/>
      <c r="Q9" s="26"/>
      <c r="R9" s="26"/>
      <c r="S9" s="26"/>
      <c r="T9" s="26"/>
      <c r="U9" s="26"/>
      <c r="V9" s="28"/>
      <c r="W9" s="25"/>
      <c r="X9" s="26"/>
      <c r="Y9" s="26"/>
      <c r="Z9" s="26"/>
      <c r="AA9" s="28"/>
    </row>
    <row r="10" spans="1:27" x14ac:dyDescent="0.25">
      <c r="A10" t="s">
        <v>44</v>
      </c>
      <c r="B10" s="25"/>
      <c r="C10" s="26"/>
      <c r="D10" s="26"/>
      <c r="E10" s="26"/>
      <c r="F10" s="26"/>
      <c r="G10" s="26"/>
      <c r="H10" s="28"/>
      <c r="I10" s="25"/>
      <c r="J10" s="26"/>
      <c r="K10" s="26"/>
      <c r="L10" s="26"/>
      <c r="M10" s="26"/>
      <c r="N10" s="26"/>
      <c r="O10" s="28"/>
      <c r="P10" s="25"/>
      <c r="Q10" s="26"/>
      <c r="R10" s="26"/>
      <c r="S10" s="26"/>
      <c r="T10" s="26"/>
      <c r="U10" s="26"/>
      <c r="V10" s="28"/>
      <c r="W10" s="25"/>
      <c r="X10" s="26"/>
      <c r="Y10" s="26"/>
      <c r="Z10" s="26"/>
      <c r="AA10" s="28"/>
    </row>
    <row r="11" spans="1:27" x14ac:dyDescent="0.25">
      <c r="A11" t="s">
        <v>45</v>
      </c>
      <c r="B11" s="25"/>
      <c r="C11" s="26"/>
      <c r="D11" s="26"/>
      <c r="E11" s="26"/>
      <c r="F11" s="26"/>
      <c r="G11" s="26"/>
      <c r="H11" s="28"/>
      <c r="I11" s="25"/>
      <c r="J11" s="26"/>
      <c r="K11" s="26"/>
      <c r="L11" s="26"/>
      <c r="M11" s="26"/>
      <c r="N11" s="26"/>
      <c r="O11" s="28"/>
      <c r="P11" s="25"/>
      <c r="Q11" s="26"/>
      <c r="R11" s="26"/>
      <c r="S11" s="26"/>
      <c r="T11" s="26"/>
      <c r="U11" s="26"/>
      <c r="V11" s="28"/>
      <c r="W11" s="25"/>
      <c r="X11" s="26"/>
      <c r="Y11" s="26"/>
      <c r="Z11" s="26"/>
      <c r="AA11" s="28"/>
    </row>
    <row r="12" spans="1:27" x14ac:dyDescent="0.25">
      <c r="A12" t="s">
        <v>46</v>
      </c>
      <c r="B12" s="25"/>
      <c r="C12" s="26"/>
      <c r="D12" s="26"/>
      <c r="E12" s="26"/>
      <c r="F12" s="26"/>
      <c r="G12" s="26"/>
      <c r="H12" s="28"/>
      <c r="I12" s="25"/>
      <c r="J12" s="26"/>
      <c r="K12" s="26"/>
      <c r="L12" s="26"/>
      <c r="M12" s="26"/>
      <c r="N12" s="26"/>
      <c r="O12" s="28"/>
      <c r="P12" s="25"/>
      <c r="Q12" s="26"/>
      <c r="R12" s="26"/>
      <c r="S12" s="26"/>
      <c r="T12" s="26"/>
      <c r="U12" s="26"/>
      <c r="V12" s="28"/>
      <c r="W12" s="25"/>
      <c r="X12" s="26"/>
      <c r="Y12" s="26"/>
      <c r="Z12" s="26"/>
      <c r="AA12" s="28"/>
    </row>
    <row r="13" spans="1:27" x14ac:dyDescent="0.25">
      <c r="A13" t="s">
        <v>47</v>
      </c>
      <c r="B13" s="25"/>
      <c r="C13" s="26"/>
      <c r="D13" s="26"/>
      <c r="E13" s="26"/>
      <c r="F13" s="26"/>
      <c r="G13" s="26"/>
      <c r="H13" s="28"/>
      <c r="I13" s="25"/>
      <c r="J13" s="26"/>
      <c r="K13" s="26"/>
      <c r="L13" s="26"/>
      <c r="M13" s="26"/>
      <c r="N13" s="26"/>
      <c r="O13" s="28"/>
      <c r="P13" s="25"/>
      <c r="Q13" s="26"/>
      <c r="R13" s="26"/>
      <c r="S13" s="26"/>
      <c r="T13" s="26"/>
      <c r="U13" s="26"/>
      <c r="V13" s="28"/>
      <c r="W13" s="25"/>
      <c r="X13" s="26"/>
      <c r="Y13" s="26"/>
      <c r="Z13" s="26"/>
      <c r="AA13" s="28"/>
    </row>
    <row r="14" spans="1:27" x14ac:dyDescent="0.25">
      <c r="A14" t="s">
        <v>48</v>
      </c>
      <c r="B14" s="25"/>
      <c r="C14" s="26"/>
      <c r="D14" s="26"/>
      <c r="E14" s="26"/>
      <c r="F14" s="26"/>
      <c r="G14" s="26"/>
      <c r="H14" s="28"/>
      <c r="I14" s="25"/>
      <c r="J14" s="26"/>
      <c r="K14" s="26"/>
      <c r="L14" s="26"/>
      <c r="M14" s="26"/>
      <c r="N14" s="26"/>
      <c r="O14" s="28"/>
      <c r="P14" s="25"/>
      <c r="Q14" s="26"/>
      <c r="R14" s="26"/>
      <c r="S14" s="26"/>
      <c r="T14" s="26"/>
      <c r="U14" s="26"/>
      <c r="V14" s="28"/>
      <c r="W14" s="25"/>
      <c r="X14" s="26"/>
      <c r="Y14" s="26"/>
      <c r="Z14" s="26"/>
      <c r="AA14" s="28"/>
    </row>
    <row r="15" spans="1:27" x14ac:dyDescent="0.25">
      <c r="A15" t="s">
        <v>49</v>
      </c>
      <c r="B15" s="25"/>
      <c r="C15" s="26"/>
      <c r="D15" s="29"/>
      <c r="E15" s="26"/>
      <c r="F15" s="26"/>
      <c r="G15" s="26"/>
      <c r="H15" s="28"/>
      <c r="I15" s="30"/>
      <c r="J15" s="26"/>
      <c r="K15" s="26"/>
      <c r="L15" s="26"/>
      <c r="M15" s="26"/>
      <c r="N15" s="26"/>
      <c r="O15" s="28"/>
      <c r="P15" s="25"/>
      <c r="Q15" s="26"/>
      <c r="R15" s="26"/>
      <c r="S15" s="26"/>
      <c r="T15" s="26"/>
      <c r="U15" s="26"/>
      <c r="V15" s="28"/>
      <c r="W15" s="25"/>
      <c r="X15" s="26"/>
      <c r="Y15" s="26"/>
      <c r="Z15" s="26"/>
      <c r="AA15" s="28"/>
    </row>
    <row r="16" spans="1:27" x14ac:dyDescent="0.25">
      <c r="A16" t="s">
        <v>50</v>
      </c>
      <c r="B16" s="25"/>
      <c r="C16" s="26"/>
      <c r="D16" s="29"/>
      <c r="E16" s="26"/>
      <c r="F16" s="26"/>
      <c r="G16" s="26"/>
      <c r="H16" s="28"/>
      <c r="I16" s="30"/>
      <c r="J16" s="26"/>
      <c r="K16" s="26"/>
      <c r="L16" s="26"/>
      <c r="M16" s="26"/>
      <c r="N16" s="26"/>
      <c r="O16" s="28"/>
      <c r="P16" s="25"/>
      <c r="Q16" s="26"/>
      <c r="R16" s="26"/>
      <c r="S16" s="26"/>
      <c r="T16" s="26"/>
      <c r="U16" s="26"/>
      <c r="V16" s="28"/>
      <c r="W16" s="25"/>
      <c r="X16" s="26"/>
      <c r="Y16" s="26"/>
      <c r="Z16" s="26"/>
      <c r="AA16" s="28"/>
    </row>
    <row r="17" spans="1:27" x14ac:dyDescent="0.25">
      <c r="A17" t="s">
        <v>51</v>
      </c>
      <c r="B17" s="25"/>
      <c r="C17" s="26"/>
      <c r="D17" s="26"/>
      <c r="E17" s="26"/>
      <c r="F17" s="26"/>
      <c r="G17" s="26"/>
      <c r="H17" s="28"/>
      <c r="I17" s="25"/>
      <c r="J17" s="26"/>
      <c r="K17" s="26"/>
      <c r="L17" s="26"/>
      <c r="M17" s="26"/>
      <c r="N17" s="26"/>
      <c r="O17" s="28"/>
      <c r="P17" s="25"/>
      <c r="Q17" s="26"/>
      <c r="R17" s="26"/>
      <c r="S17" s="26"/>
      <c r="T17" s="26"/>
      <c r="U17" s="26"/>
      <c r="V17" s="28"/>
      <c r="W17" s="25"/>
      <c r="X17" s="26"/>
      <c r="Y17" s="26"/>
      <c r="Z17" s="26"/>
      <c r="AA17" s="28"/>
    </row>
    <row r="18" spans="1:27" x14ac:dyDescent="0.25">
      <c r="A18" t="s">
        <v>52</v>
      </c>
      <c r="B18" s="25"/>
      <c r="C18" s="26"/>
      <c r="D18" s="26"/>
      <c r="E18" s="26"/>
      <c r="F18" s="26"/>
      <c r="G18" s="26"/>
      <c r="H18" s="28"/>
      <c r="I18" s="25"/>
      <c r="J18" s="26"/>
      <c r="K18" s="26"/>
      <c r="L18" s="26"/>
      <c r="M18" s="26"/>
      <c r="N18" s="26"/>
      <c r="O18" s="28"/>
      <c r="P18" s="25"/>
      <c r="Q18" s="26"/>
      <c r="R18" s="26"/>
      <c r="S18" s="26"/>
      <c r="T18" s="26"/>
      <c r="U18" s="26"/>
      <c r="V18" s="28"/>
      <c r="W18" s="25"/>
      <c r="X18" s="26"/>
      <c r="Y18" s="26"/>
      <c r="Z18" s="26"/>
      <c r="AA18" s="28"/>
    </row>
    <row r="19" spans="1:27" x14ac:dyDescent="0.25">
      <c r="A19" t="s">
        <v>53</v>
      </c>
      <c r="B19" s="25"/>
      <c r="C19" s="26"/>
      <c r="D19" s="26"/>
      <c r="E19" s="26"/>
      <c r="F19" s="26"/>
      <c r="G19" s="26"/>
      <c r="H19" s="28"/>
      <c r="I19" s="25"/>
      <c r="J19" s="26"/>
      <c r="K19" s="26"/>
      <c r="L19" s="278" t="s">
        <v>28</v>
      </c>
      <c r="M19" s="26"/>
      <c r="N19" s="26"/>
      <c r="O19" s="28"/>
      <c r="P19" s="25"/>
      <c r="Q19" s="26"/>
      <c r="R19" s="26"/>
      <c r="S19" s="26"/>
      <c r="T19" s="26"/>
      <c r="U19" s="26"/>
      <c r="V19" s="28"/>
      <c r="W19" s="25"/>
      <c r="X19" s="26"/>
      <c r="Y19" s="26"/>
      <c r="Z19" s="26"/>
      <c r="AA19" s="28"/>
    </row>
    <row r="20" spans="1:27" x14ac:dyDescent="0.25">
      <c r="A20" t="s">
        <v>54</v>
      </c>
      <c r="B20" s="25"/>
      <c r="C20" s="26"/>
      <c r="D20" s="26"/>
      <c r="E20" s="26"/>
      <c r="F20" s="26"/>
      <c r="G20" s="26"/>
      <c r="H20" s="28"/>
      <c r="I20" s="25"/>
      <c r="J20" s="26"/>
      <c r="K20" s="26"/>
      <c r="L20" s="279"/>
      <c r="M20" s="26"/>
      <c r="N20" s="26"/>
      <c r="O20" s="28"/>
      <c r="P20" s="25"/>
      <c r="Q20" s="26"/>
      <c r="R20" s="26"/>
      <c r="S20" s="26"/>
      <c r="T20" s="26"/>
      <c r="U20" s="26"/>
      <c r="V20" s="28"/>
      <c r="W20" s="25"/>
      <c r="X20" s="26"/>
      <c r="Y20" s="26"/>
      <c r="Z20" s="26"/>
      <c r="AA20" s="28"/>
    </row>
    <row r="21" spans="1:27" x14ac:dyDescent="0.25">
      <c r="A21" t="s">
        <v>55</v>
      </c>
      <c r="B21" s="25"/>
      <c r="C21" s="26"/>
      <c r="D21" s="26"/>
      <c r="E21" s="26"/>
      <c r="F21" s="26"/>
      <c r="G21" s="26"/>
      <c r="H21" s="28"/>
      <c r="I21" s="25"/>
      <c r="J21" s="26"/>
      <c r="K21" s="26"/>
      <c r="L21" s="26"/>
      <c r="M21" s="26"/>
      <c r="N21" s="26"/>
      <c r="O21" s="28"/>
      <c r="P21" s="25"/>
      <c r="Q21" s="26"/>
      <c r="R21" s="26"/>
      <c r="S21" s="26"/>
      <c r="T21" s="26"/>
      <c r="U21" s="26"/>
      <c r="V21" s="28"/>
      <c r="W21" s="25"/>
      <c r="X21" s="26"/>
      <c r="Y21" s="26"/>
      <c r="Z21" s="26"/>
      <c r="AA21" s="28"/>
    </row>
    <row r="22" spans="1:27" x14ac:dyDescent="0.25">
      <c r="A22" t="s">
        <v>56</v>
      </c>
      <c r="B22" s="25"/>
      <c r="C22" s="26"/>
      <c r="D22" s="26"/>
      <c r="E22" s="26"/>
      <c r="F22" s="26"/>
      <c r="G22" s="26"/>
      <c r="H22" s="28"/>
      <c r="I22" s="25"/>
      <c r="J22" s="26"/>
      <c r="K22" s="26"/>
      <c r="L22" s="26"/>
      <c r="M22" s="26"/>
      <c r="N22" s="26"/>
      <c r="O22" s="28"/>
      <c r="P22" s="25"/>
      <c r="Q22" s="26"/>
      <c r="R22" s="26"/>
      <c r="S22" s="26"/>
      <c r="T22" s="26"/>
      <c r="U22" s="26"/>
      <c r="V22" s="28"/>
      <c r="W22" s="25"/>
      <c r="X22" s="26"/>
      <c r="Y22" s="26"/>
      <c r="Z22" s="278" t="s">
        <v>28</v>
      </c>
      <c r="AA22" s="28"/>
    </row>
    <row r="23" spans="1:27" x14ac:dyDescent="0.25">
      <c r="A23" t="s">
        <v>57</v>
      </c>
      <c r="B23" s="25"/>
      <c r="C23" s="26"/>
      <c r="D23" s="26"/>
      <c r="E23" s="26"/>
      <c r="F23" s="26"/>
      <c r="G23" s="26"/>
      <c r="H23" s="28"/>
      <c r="I23" s="25"/>
      <c r="J23" s="26"/>
      <c r="K23" s="26"/>
      <c r="L23" s="26"/>
      <c r="M23" s="26"/>
      <c r="N23" s="26"/>
      <c r="O23" s="28"/>
      <c r="P23" s="25"/>
      <c r="Q23" s="26"/>
      <c r="R23" s="26"/>
      <c r="S23" s="26"/>
      <c r="T23" s="26"/>
      <c r="U23" s="26"/>
      <c r="V23" s="28"/>
      <c r="W23" s="25"/>
      <c r="X23" s="26"/>
      <c r="Y23" s="26"/>
      <c r="Z23" s="279"/>
      <c r="AA23" s="28"/>
    </row>
    <row r="24" spans="1:27" x14ac:dyDescent="0.25">
      <c r="A24" t="s">
        <v>58</v>
      </c>
      <c r="B24" s="25"/>
      <c r="C24" s="278" t="s">
        <v>28</v>
      </c>
      <c r="D24" s="26"/>
      <c r="E24" s="26"/>
      <c r="F24" s="26"/>
      <c r="G24" s="26"/>
      <c r="H24" s="28"/>
      <c r="I24" s="25"/>
      <c r="J24" s="26"/>
      <c r="K24" s="26"/>
      <c r="L24" s="26"/>
      <c r="M24" s="26"/>
      <c r="N24" s="26"/>
      <c r="O24" s="28"/>
      <c r="P24" s="25"/>
      <c r="Q24" s="26"/>
      <c r="R24" s="26"/>
      <c r="S24" s="26"/>
      <c r="T24" s="26"/>
      <c r="U24" s="26"/>
      <c r="V24" s="28"/>
      <c r="W24" s="25"/>
      <c r="X24" s="26"/>
      <c r="Y24" s="26"/>
      <c r="Z24" s="26"/>
      <c r="AA24" s="28"/>
    </row>
    <row r="25" spans="1:27" x14ac:dyDescent="0.25">
      <c r="A25" t="s">
        <v>59</v>
      </c>
      <c r="B25" s="30"/>
      <c r="C25" s="279"/>
      <c r="D25" s="26"/>
      <c r="E25" s="26"/>
      <c r="F25" s="26"/>
      <c r="G25" s="26"/>
      <c r="H25" s="28"/>
      <c r="I25" s="25"/>
      <c r="J25" s="26"/>
      <c r="K25" s="26"/>
      <c r="L25" s="26"/>
      <c r="M25" s="26"/>
      <c r="N25" s="26"/>
      <c r="O25" s="28"/>
      <c r="P25" s="25"/>
      <c r="Q25" s="26"/>
      <c r="R25" s="26"/>
      <c r="S25" s="26"/>
      <c r="T25" s="26"/>
      <c r="U25" s="26"/>
      <c r="V25" s="28"/>
      <c r="W25" s="25"/>
      <c r="X25" s="26"/>
      <c r="Y25" s="26"/>
      <c r="Z25" s="26"/>
      <c r="AA25" s="28"/>
    </row>
    <row r="26" spans="1:27" x14ac:dyDescent="0.25">
      <c r="A26" t="s">
        <v>60</v>
      </c>
      <c r="B26" s="30"/>
      <c r="C26" s="26"/>
      <c r="D26" s="26"/>
      <c r="E26" s="26"/>
      <c r="F26" s="26"/>
      <c r="G26" s="26"/>
      <c r="H26" s="28"/>
      <c r="I26" s="25"/>
      <c r="J26" s="26"/>
      <c r="K26" s="26"/>
      <c r="L26" s="26"/>
      <c r="M26" s="283" t="s">
        <v>8</v>
      </c>
      <c r="N26" s="26"/>
      <c r="O26" s="28"/>
      <c r="P26" s="25"/>
      <c r="Q26" s="26"/>
      <c r="R26" s="26"/>
      <c r="S26" s="26"/>
      <c r="T26" s="26"/>
      <c r="U26" s="26"/>
      <c r="V26" s="28"/>
      <c r="W26" s="25"/>
      <c r="X26" s="26"/>
      <c r="Y26" s="26"/>
      <c r="Z26" s="26"/>
      <c r="AA26" s="28"/>
    </row>
    <row r="27" spans="1:27" x14ac:dyDescent="0.25">
      <c r="A27" t="s">
        <v>61</v>
      </c>
      <c r="B27" s="25"/>
      <c r="C27" s="26"/>
      <c r="D27" s="26"/>
      <c r="E27" s="26"/>
      <c r="F27" s="26"/>
      <c r="G27" s="26"/>
      <c r="H27" s="28"/>
      <c r="I27" s="25"/>
      <c r="J27" s="26"/>
      <c r="K27" s="26"/>
      <c r="L27" s="26"/>
      <c r="M27" s="284"/>
      <c r="N27" s="26"/>
      <c r="O27" s="28"/>
      <c r="P27" s="25"/>
      <c r="Q27" s="26"/>
      <c r="R27" s="26"/>
      <c r="S27" s="26"/>
      <c r="T27" s="26"/>
      <c r="U27" s="26"/>
      <c r="V27" s="28"/>
      <c r="W27" s="25"/>
      <c r="X27" s="26"/>
      <c r="Y27" s="26"/>
      <c r="Z27" s="26"/>
      <c r="AA27" s="28"/>
    </row>
    <row r="28" spans="1:27" x14ac:dyDescent="0.25">
      <c r="A28" t="s">
        <v>62</v>
      </c>
      <c r="B28" s="25"/>
      <c r="C28" s="26"/>
      <c r="D28" s="26"/>
      <c r="E28" s="278" t="s">
        <v>6</v>
      </c>
      <c r="F28" s="26"/>
      <c r="G28" s="26"/>
      <c r="H28" s="28"/>
      <c r="I28" s="25"/>
      <c r="J28" s="26"/>
      <c r="K28" s="26"/>
      <c r="L28" s="26"/>
      <c r="M28" s="26"/>
      <c r="N28" s="26"/>
      <c r="O28" s="28"/>
      <c r="P28" s="25"/>
      <c r="Q28" s="26"/>
      <c r="R28" s="26"/>
      <c r="S28" s="26"/>
      <c r="T28" s="278" t="s">
        <v>28</v>
      </c>
      <c r="U28" s="26"/>
      <c r="V28" s="28"/>
      <c r="W28" s="25"/>
      <c r="X28" s="26"/>
      <c r="Y28" s="26"/>
      <c r="Z28" s="26"/>
      <c r="AA28" s="28"/>
    </row>
    <row r="29" spans="1:27" x14ac:dyDescent="0.25">
      <c r="A29" t="s">
        <v>63</v>
      </c>
      <c r="B29" s="25"/>
      <c r="C29" s="26"/>
      <c r="D29" s="26"/>
      <c r="E29" s="279"/>
      <c r="F29" s="26"/>
      <c r="G29" s="26"/>
      <c r="H29" s="28"/>
      <c r="I29" s="25"/>
      <c r="J29" s="26"/>
      <c r="K29" s="26"/>
      <c r="L29" s="26"/>
      <c r="M29" s="26"/>
      <c r="N29" s="26"/>
      <c r="O29" s="28"/>
      <c r="P29" s="25"/>
      <c r="Q29" s="26"/>
      <c r="R29" s="26"/>
      <c r="S29" s="26"/>
      <c r="T29" s="279"/>
      <c r="U29" s="26"/>
      <c r="V29" s="28"/>
      <c r="W29" s="25"/>
      <c r="X29" s="26"/>
      <c r="Y29" s="26"/>
      <c r="Z29" s="26"/>
      <c r="AA29" s="28"/>
    </row>
    <row r="30" spans="1:27" ht="15.75" thickBot="1" x14ac:dyDescent="0.3">
      <c r="A30" s="7" t="s">
        <v>64</v>
      </c>
      <c r="B30" s="31"/>
      <c r="C30" s="32"/>
      <c r="D30" s="32"/>
      <c r="E30" s="32"/>
      <c r="F30" s="32"/>
      <c r="G30" s="32"/>
      <c r="H30" s="33"/>
      <c r="I30" s="31"/>
      <c r="J30" s="32"/>
      <c r="K30" s="32"/>
      <c r="L30" s="32"/>
      <c r="M30" s="32"/>
      <c r="N30" s="32"/>
      <c r="O30" s="33"/>
      <c r="P30" s="31"/>
      <c r="Q30" s="32"/>
      <c r="R30" s="32"/>
      <c r="S30" s="32"/>
      <c r="T30" s="32"/>
      <c r="U30" s="32"/>
      <c r="V30" s="33"/>
      <c r="W30" s="31"/>
      <c r="X30" s="32"/>
      <c r="Y30" s="32"/>
      <c r="Z30" s="32"/>
      <c r="AA30" s="33"/>
    </row>
    <row r="34" spans="1:6" ht="15.75" thickBot="1" x14ac:dyDescent="0.3">
      <c r="A34" s="36" t="s">
        <v>74</v>
      </c>
      <c r="B34" s="16" t="s">
        <v>69</v>
      </c>
      <c r="C34" s="16" t="s">
        <v>75</v>
      </c>
    </row>
    <row r="35" spans="1:6" x14ac:dyDescent="0.25">
      <c r="A35">
        <v>1</v>
      </c>
      <c r="B35" s="3" cm="1">
        <f t="array" ref="B35">SUMPRODUCT(($B$4:$F$30&lt;&gt;"")*SUMIF('Datos - Axis'!$B$3:$B$13,$B$4:$F$30,'Datos - Axis'!$E$3:$E$13))</f>
        <v>20000</v>
      </c>
      <c r="C35" s="1" t="s">
        <v>31</v>
      </c>
      <c r="D35" s="14"/>
      <c r="E35" s="14"/>
      <c r="F35" s="14"/>
    </row>
    <row r="36" spans="1:6" x14ac:dyDescent="0.25">
      <c r="A36">
        <v>2</v>
      </c>
      <c r="B36" s="3" cm="1">
        <f t="array" ref="B36">SUMPRODUCT(($I$4:$M$30&lt;&gt;"")*SUMIF('Datos - Axis'!$B$3:$B$13,$I$4:$M$30,'Datos - Axis'!$E$3:$E$13))</f>
        <v>30500</v>
      </c>
      <c r="C36" s="1" t="s">
        <v>31</v>
      </c>
    </row>
    <row r="37" spans="1:6" x14ac:dyDescent="0.25">
      <c r="A37">
        <v>3</v>
      </c>
      <c r="B37" s="3" cm="1">
        <f t="array" ref="B37">SUMPRODUCT(($P$4:$T$30&lt;&gt;"")*SUMIF('Datos - Axis'!$B$3:$B$13,$P$4:$T$30,'Datos - Axis'!$E$3:$E$13))</f>
        <v>20000</v>
      </c>
      <c r="C37" s="1" t="s">
        <v>31</v>
      </c>
    </row>
    <row r="38" spans="1:6" x14ac:dyDescent="0.25">
      <c r="A38">
        <v>4</v>
      </c>
      <c r="B38" s="3" cm="1">
        <f t="array" ref="B38">SUMPRODUCT(($W$4:$AA$30&lt;&gt;"")*SUMIF('Datos - Axis'!$B$3:$B$13,$W$4:$AA$30,'Datos - Axis'!$E$3:$E$13))</f>
        <v>20000</v>
      </c>
      <c r="C38" s="1" t="s">
        <v>31</v>
      </c>
    </row>
    <row r="39" spans="1:6" x14ac:dyDescent="0.25">
      <c r="B39" s="3"/>
      <c r="C39" s="1"/>
    </row>
    <row r="41" spans="1:6" x14ac:dyDescent="0.25">
      <c r="A41" s="11" t="s">
        <v>76</v>
      </c>
      <c r="B41" s="23">
        <f>SUM(B35:B39)</f>
        <v>90500</v>
      </c>
    </row>
  </sheetData>
  <mergeCells count="13">
    <mergeCell ref="AA7:AA8"/>
    <mergeCell ref="C24:C25"/>
    <mergeCell ref="E28:E29"/>
    <mergeCell ref="L19:L20"/>
    <mergeCell ref="B1:H1"/>
    <mergeCell ref="I1:O1"/>
    <mergeCell ref="P1:V1"/>
    <mergeCell ref="W1:AA1"/>
    <mergeCell ref="M7:M8"/>
    <mergeCell ref="M26:M27"/>
    <mergeCell ref="T7:T8"/>
    <mergeCell ref="T28:T29"/>
    <mergeCell ref="Z22:Z23"/>
  </mergeCells>
  <conditionalFormatting sqref="B41">
    <cfRule type="cellIs" dxfId="78" priority="1" operator="greaterThan">
      <formula>0</formula>
    </cfRule>
  </conditionalFormatting>
  <conditionalFormatting sqref="B35:C39">
    <cfRule type="expression" dxfId="77" priority="2">
      <formula>$C35="Si"</formula>
    </cfRule>
  </conditionalFormatting>
  <conditionalFormatting sqref="B4:AA15 B16:H16 J16:AA16 B17:AA18 B19:J20 L19:AA20 B21:AA24 B25 D25:AA25 B26:AA27 E28 B28:D29 F28:AA29 B30:AA30">
    <cfRule type="expression" dxfId="76" priority="3">
      <formula>B4&lt;&gt;""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5954FEB-610C-4ACA-822D-B898BC04A793}">
          <x14:formula1>
            <xm:f>'Datos - Axis'!$B$3:$B$15</xm:f>
          </x14:formula1>
          <xm:sqref>B27:B30 N9:AA30 M9:M26 M28:M30 L9:L30 K9:K18 K21:K30 J9:J30 E9:E28 F9:H30 C9:C24 I9:I15 E30 C26:C30 I17:I30 B9:B25 D9:D15 D17:D30</xm:sqref>
        </x14:dataValidation>
        <x14:dataValidation type="list" allowBlank="1" showInputMessage="1" showErrorMessage="1" xr:uid="{A958A68C-FDD6-43B3-BB53-507F9EAEE4C0}">
          <x14:formula1>
            <xm:f>'Datos - Axis'!$B$3:$B$19</xm:f>
          </x14:formula1>
          <xm:sqref>B4:C8 AA4:AA7 U4:Z8 T4:T7 N4:S8 M4:M7 J4:L8 D4:D6 E4 E6 F7:F8 F4:F5 G4:H8 D8:E8 I4:I6 I8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0F2D-B1FA-442B-A9DE-3D1FB31BFFF2}">
  <sheetPr codeName="Hoja7">
    <tabColor theme="7" tint="0.59999389629810485"/>
  </sheetPr>
  <dimension ref="A1:AF41"/>
  <sheetViews>
    <sheetView workbookViewId="0">
      <pane xSplit="1" ySplit="3" topLeftCell="I4" activePane="bottomRight" state="frozen"/>
      <selection pane="topRight" activeCell="C1" sqref="C1"/>
      <selection pane="bottomLeft" activeCell="A4" sqref="A4"/>
      <selection pane="bottomRight" activeCell="AC28" sqref="AC28:AC29"/>
    </sheetView>
  </sheetViews>
  <sheetFormatPr baseColWidth="10" defaultRowHeight="15" x14ac:dyDescent="0.25"/>
  <cols>
    <col min="1" max="1" width="15.5703125" bestFit="1" customWidth="1"/>
    <col min="2" max="2" width="13" bestFit="1" customWidth="1"/>
    <col min="4" max="4" width="13.7109375" bestFit="1" customWidth="1"/>
    <col min="5" max="5" width="14.28515625" bestFit="1" customWidth="1"/>
    <col min="6" max="6" width="17.140625" bestFit="1" customWidth="1"/>
    <col min="7" max="7" width="11.42578125" hidden="1" customWidth="1"/>
    <col min="8" max="8" width="8.7109375" hidden="1" customWidth="1"/>
    <col min="9" max="9" width="13.85546875" customWidth="1"/>
    <col min="10" max="10" width="12.85546875" customWidth="1"/>
    <col min="13" max="13" width="17.140625" bestFit="1" customWidth="1"/>
    <col min="14" max="15" width="0" hidden="1" customWidth="1"/>
    <col min="20" max="20" width="11.5703125" bestFit="1" customWidth="1"/>
    <col min="21" max="22" width="0" hidden="1" customWidth="1"/>
  </cols>
  <sheetData>
    <row r="1" spans="1:32" x14ac:dyDescent="0.25">
      <c r="B1" s="280" t="s">
        <v>35</v>
      </c>
      <c r="C1" s="281"/>
      <c r="D1" s="281"/>
      <c r="E1" s="281"/>
      <c r="F1" s="281"/>
      <c r="G1" s="281"/>
      <c r="H1" s="282"/>
      <c r="I1" s="280" t="s">
        <v>36</v>
      </c>
      <c r="J1" s="281"/>
      <c r="K1" s="281"/>
      <c r="L1" s="281"/>
      <c r="M1" s="281"/>
      <c r="N1" s="281"/>
      <c r="O1" s="282"/>
      <c r="P1" s="280" t="s">
        <v>37</v>
      </c>
      <c r="Q1" s="281"/>
      <c r="R1" s="281"/>
      <c r="S1" s="281"/>
      <c r="T1" s="281"/>
      <c r="U1" s="281"/>
      <c r="V1" s="282"/>
      <c r="W1" s="280" t="s">
        <v>38</v>
      </c>
      <c r="X1" s="281"/>
      <c r="Y1" s="281"/>
      <c r="Z1" s="281"/>
      <c r="AA1" s="282"/>
      <c r="AB1" s="280" t="s">
        <v>39</v>
      </c>
      <c r="AC1" s="281"/>
      <c r="AD1" s="281"/>
      <c r="AE1" s="281"/>
      <c r="AF1" s="282"/>
    </row>
    <row r="2" spans="1:32" x14ac:dyDescent="0.25">
      <c r="B2" s="4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5" t="s">
        <v>27</v>
      </c>
      <c r="I2" s="4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5" t="s">
        <v>27</v>
      </c>
      <c r="P2" s="4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5" t="s">
        <v>27</v>
      </c>
      <c r="W2" s="4" t="s">
        <v>21</v>
      </c>
      <c r="X2" s="1" t="s">
        <v>22</v>
      </c>
      <c r="Y2" s="1" t="s">
        <v>23</v>
      </c>
      <c r="Z2" s="1" t="s">
        <v>24</v>
      </c>
      <c r="AA2" s="5" t="s">
        <v>25</v>
      </c>
      <c r="AB2" s="4" t="s">
        <v>21</v>
      </c>
      <c r="AC2" s="1" t="s">
        <v>22</v>
      </c>
      <c r="AD2" s="1" t="s">
        <v>23</v>
      </c>
      <c r="AE2" s="1" t="s">
        <v>24</v>
      </c>
      <c r="AF2" s="5" t="s">
        <v>25</v>
      </c>
    </row>
    <row r="3" spans="1:32" ht="15.75" thickBot="1" x14ac:dyDescent="0.3">
      <c r="A3" s="7"/>
      <c r="B3" s="8">
        <v>30</v>
      </c>
      <c r="C3" s="9">
        <v>31</v>
      </c>
      <c r="D3" s="9">
        <v>1</v>
      </c>
      <c r="E3" s="9">
        <v>2</v>
      </c>
      <c r="F3" s="10">
        <v>3</v>
      </c>
      <c r="G3" s="9">
        <v>4</v>
      </c>
      <c r="H3" s="9">
        <v>5</v>
      </c>
      <c r="I3" s="8">
        <v>6</v>
      </c>
      <c r="J3" s="9">
        <v>7</v>
      </c>
      <c r="K3" s="9">
        <v>8</v>
      </c>
      <c r="L3" s="9">
        <v>9</v>
      </c>
      <c r="M3" s="10">
        <v>10</v>
      </c>
      <c r="N3" s="9">
        <v>11</v>
      </c>
      <c r="O3" s="9">
        <v>12</v>
      </c>
      <c r="P3" s="8">
        <v>13</v>
      </c>
      <c r="Q3" s="9">
        <v>14</v>
      </c>
      <c r="R3" s="9">
        <v>15</v>
      </c>
      <c r="S3" s="9">
        <v>16</v>
      </c>
      <c r="T3" s="10">
        <v>17</v>
      </c>
      <c r="U3" s="9">
        <v>18</v>
      </c>
      <c r="V3" s="9">
        <v>19</v>
      </c>
      <c r="W3" s="8">
        <v>20</v>
      </c>
      <c r="X3" s="9">
        <v>21</v>
      </c>
      <c r="Y3" s="9">
        <v>22</v>
      </c>
      <c r="Z3" s="9">
        <v>23</v>
      </c>
      <c r="AA3" s="10">
        <v>24</v>
      </c>
      <c r="AB3" s="8">
        <v>27</v>
      </c>
      <c r="AC3" s="9">
        <v>28</v>
      </c>
      <c r="AD3" s="9">
        <v>29</v>
      </c>
      <c r="AE3" s="9">
        <v>30</v>
      </c>
      <c r="AF3" s="10">
        <v>1</v>
      </c>
    </row>
    <row r="4" spans="1:32" x14ac:dyDescent="0.25">
      <c r="A4" t="s">
        <v>40</v>
      </c>
      <c r="B4" s="25"/>
      <c r="C4" s="26"/>
      <c r="D4" s="26"/>
      <c r="E4" s="26"/>
      <c r="F4" s="26"/>
      <c r="G4" s="26"/>
      <c r="H4" s="28"/>
      <c r="I4" s="25"/>
      <c r="J4" s="26"/>
      <c r="K4" s="26"/>
      <c r="L4" s="26"/>
      <c r="M4" s="26"/>
      <c r="N4" s="26"/>
      <c r="O4" s="28"/>
      <c r="P4" s="25"/>
      <c r="Q4" s="26"/>
      <c r="R4" s="26"/>
      <c r="S4" s="26"/>
      <c r="T4" s="26"/>
      <c r="U4" s="26"/>
      <c r="V4" s="28"/>
      <c r="W4" s="25"/>
      <c r="X4" s="26"/>
      <c r="Y4" s="26"/>
      <c r="Z4" s="26"/>
      <c r="AA4" s="35"/>
      <c r="AB4" s="26"/>
      <c r="AC4" s="26"/>
      <c r="AD4" s="26"/>
      <c r="AE4" s="26"/>
      <c r="AF4" s="28"/>
    </row>
    <row r="5" spans="1:32" ht="15" customHeight="1" x14ac:dyDescent="0.25">
      <c r="A5" t="s">
        <v>41</v>
      </c>
      <c r="B5" s="25"/>
      <c r="C5" s="26"/>
      <c r="D5" s="26"/>
      <c r="E5" s="26"/>
      <c r="F5" s="26"/>
      <c r="G5" s="26"/>
      <c r="H5" s="28"/>
      <c r="I5" s="25"/>
      <c r="J5" s="26"/>
      <c r="K5" s="26"/>
      <c r="L5" s="26"/>
      <c r="M5" s="28"/>
      <c r="N5" s="26"/>
      <c r="O5" s="28"/>
      <c r="P5" s="287" t="s">
        <v>2</v>
      </c>
      <c r="Q5" s="26"/>
      <c r="R5" s="26"/>
      <c r="S5" s="26"/>
      <c r="T5" s="26"/>
      <c r="U5" s="26"/>
      <c r="V5" s="28"/>
      <c r="W5" s="287" t="s">
        <v>2</v>
      </c>
      <c r="X5" s="26"/>
      <c r="Y5" s="26"/>
      <c r="Z5" s="26"/>
      <c r="AA5" s="28"/>
      <c r="AC5" s="26"/>
      <c r="AD5" s="26"/>
      <c r="AE5" s="26"/>
      <c r="AF5" s="287" t="s">
        <v>2</v>
      </c>
    </row>
    <row r="6" spans="1:32" x14ac:dyDescent="0.25">
      <c r="A6" t="s">
        <v>42</v>
      </c>
      <c r="B6" s="30"/>
      <c r="C6" s="26"/>
      <c r="D6" s="26"/>
      <c r="E6" s="26"/>
      <c r="F6" s="26"/>
      <c r="G6" s="26"/>
      <c r="H6" s="28"/>
      <c r="I6" s="25"/>
      <c r="J6" s="26"/>
      <c r="K6" s="26"/>
      <c r="L6" s="283" t="s">
        <v>9</v>
      </c>
      <c r="M6" s="26"/>
      <c r="N6" s="26"/>
      <c r="O6" s="28"/>
      <c r="P6" s="288"/>
      <c r="Q6" s="26"/>
      <c r="R6" s="26"/>
      <c r="S6" s="283" t="s">
        <v>9</v>
      </c>
      <c r="T6" s="26"/>
      <c r="U6" s="26"/>
      <c r="V6" s="28"/>
      <c r="W6" s="288"/>
      <c r="X6" s="26"/>
      <c r="Y6" s="26"/>
      <c r="Z6" s="283" t="s">
        <v>9</v>
      </c>
      <c r="AA6" s="28"/>
      <c r="AC6" s="26"/>
      <c r="AD6" s="26"/>
      <c r="AE6" s="283" t="s">
        <v>9</v>
      </c>
      <c r="AF6" s="288"/>
    </row>
    <row r="7" spans="1:32" x14ac:dyDescent="0.25">
      <c r="A7" t="s">
        <v>43</v>
      </c>
      <c r="B7" s="30"/>
      <c r="C7" s="26"/>
      <c r="D7" s="26"/>
      <c r="E7" s="26"/>
      <c r="F7" s="26"/>
      <c r="G7" s="26"/>
      <c r="H7" s="28"/>
      <c r="I7" s="25"/>
      <c r="J7" s="26"/>
      <c r="K7" s="26"/>
      <c r="L7" s="284"/>
      <c r="M7" s="283" t="s">
        <v>6</v>
      </c>
      <c r="N7" s="26"/>
      <c r="O7" s="28"/>
      <c r="P7" s="25"/>
      <c r="Q7" s="26"/>
      <c r="R7" s="26"/>
      <c r="S7" s="284"/>
      <c r="T7" s="283" t="s">
        <v>6</v>
      </c>
      <c r="U7" s="26"/>
      <c r="V7" s="28"/>
      <c r="W7" s="25"/>
      <c r="X7" s="26"/>
      <c r="Y7" s="26"/>
      <c r="Z7" s="284"/>
      <c r="AA7" s="285" t="s">
        <v>6</v>
      </c>
      <c r="AB7" s="25"/>
      <c r="AC7" s="26"/>
      <c r="AD7" s="26"/>
      <c r="AE7" s="284"/>
      <c r="AF7" s="28"/>
    </row>
    <row r="8" spans="1:32" x14ac:dyDescent="0.25">
      <c r="A8" t="s">
        <v>65</v>
      </c>
      <c r="B8" s="25"/>
      <c r="C8" s="26"/>
      <c r="D8" s="26"/>
      <c r="E8" s="26"/>
      <c r="F8" s="283" t="s">
        <v>6</v>
      </c>
      <c r="G8" s="26"/>
      <c r="H8" s="28"/>
      <c r="I8" s="25"/>
      <c r="J8" s="26"/>
      <c r="K8" s="26"/>
      <c r="L8" s="26"/>
      <c r="M8" s="284"/>
      <c r="N8" s="26"/>
      <c r="O8" s="28"/>
      <c r="P8" s="25"/>
      <c r="Q8" s="26"/>
      <c r="R8" s="26"/>
      <c r="S8" s="26"/>
      <c r="T8" s="284"/>
      <c r="U8" s="26"/>
      <c r="V8" s="28"/>
      <c r="W8" s="25"/>
      <c r="X8" s="26"/>
      <c r="Y8" s="26"/>
      <c r="Z8" s="26"/>
      <c r="AA8" s="286"/>
      <c r="AB8" s="26"/>
      <c r="AC8" s="26"/>
      <c r="AD8" s="26"/>
      <c r="AE8" s="26"/>
      <c r="AF8" s="28"/>
    </row>
    <row r="9" spans="1:32" x14ac:dyDescent="0.25">
      <c r="A9" t="s">
        <v>66</v>
      </c>
      <c r="B9" s="25"/>
      <c r="C9" s="26"/>
      <c r="D9" s="26"/>
      <c r="E9" s="26"/>
      <c r="F9" s="284"/>
      <c r="G9" s="26"/>
      <c r="H9" s="28"/>
      <c r="I9" s="25"/>
      <c r="J9" s="26"/>
      <c r="K9" s="26"/>
      <c r="L9" s="26"/>
      <c r="M9" s="26"/>
      <c r="N9" s="26"/>
      <c r="O9" s="28"/>
      <c r="P9" s="25"/>
      <c r="Q9" s="26"/>
      <c r="R9" s="26"/>
      <c r="S9" s="26"/>
      <c r="T9" s="26"/>
      <c r="U9" s="26"/>
      <c r="V9" s="28"/>
      <c r="W9" s="25"/>
      <c r="X9" s="26"/>
      <c r="Y9" s="26"/>
      <c r="Z9" s="26"/>
      <c r="AA9" s="28"/>
      <c r="AB9" s="26"/>
      <c r="AC9" s="26"/>
      <c r="AD9" s="26"/>
      <c r="AE9" s="26"/>
      <c r="AF9" s="28"/>
    </row>
    <row r="10" spans="1:32" x14ac:dyDescent="0.25">
      <c r="A10" t="s">
        <v>44</v>
      </c>
      <c r="B10" s="25"/>
      <c r="C10" s="26"/>
      <c r="D10" s="26"/>
      <c r="E10" s="26"/>
      <c r="F10" s="26"/>
      <c r="G10" s="26"/>
      <c r="H10" s="28"/>
      <c r="I10" s="25"/>
      <c r="J10" s="26"/>
      <c r="K10" s="26"/>
      <c r="L10" s="26"/>
      <c r="M10" s="26"/>
      <c r="N10" s="26"/>
      <c r="O10" s="28"/>
      <c r="P10" s="25"/>
      <c r="Q10" s="26"/>
      <c r="R10" s="26"/>
      <c r="S10" s="26"/>
      <c r="T10" s="26"/>
      <c r="U10" s="26"/>
      <c r="V10" s="28"/>
      <c r="W10" s="25"/>
      <c r="X10" s="26"/>
      <c r="Y10" s="26"/>
      <c r="Z10" s="26"/>
      <c r="AA10" s="28"/>
      <c r="AB10" s="26"/>
      <c r="AC10" s="26"/>
      <c r="AD10" s="26"/>
      <c r="AE10" s="26"/>
      <c r="AF10" s="28"/>
    </row>
    <row r="11" spans="1:32" x14ac:dyDescent="0.25">
      <c r="A11" t="s">
        <v>45</v>
      </c>
      <c r="B11" s="25"/>
      <c r="C11" s="26"/>
      <c r="D11" s="26"/>
      <c r="E11" s="26"/>
      <c r="F11" s="26"/>
      <c r="G11" s="26"/>
      <c r="H11" s="28"/>
      <c r="I11" s="25"/>
      <c r="J11" s="26"/>
      <c r="K11" s="26"/>
      <c r="L11" s="26"/>
      <c r="M11" s="26"/>
      <c r="N11" s="26"/>
      <c r="O11" s="28"/>
      <c r="P11" s="25"/>
      <c r="Q11" s="26"/>
      <c r="R11" s="26"/>
      <c r="S11" s="26"/>
      <c r="T11" s="26"/>
      <c r="U11" s="26"/>
      <c r="V11" s="28"/>
      <c r="W11" s="25"/>
      <c r="X11" s="26"/>
      <c r="Y11" s="26"/>
      <c r="Z11" s="26"/>
      <c r="AA11" s="28"/>
      <c r="AB11" s="26"/>
      <c r="AC11" s="26"/>
      <c r="AD11" s="26"/>
      <c r="AE11" s="26"/>
      <c r="AF11" s="28"/>
    </row>
    <row r="12" spans="1:32" x14ac:dyDescent="0.25">
      <c r="A12" t="s">
        <v>46</v>
      </c>
      <c r="B12" s="25"/>
      <c r="C12" s="26"/>
      <c r="D12" s="26"/>
      <c r="E12" s="26"/>
      <c r="F12" s="26"/>
      <c r="G12" s="26"/>
      <c r="H12" s="28"/>
      <c r="I12" s="25"/>
      <c r="J12" s="26"/>
      <c r="K12" s="26"/>
      <c r="L12" s="26"/>
      <c r="M12" s="26"/>
      <c r="N12" s="26"/>
      <c r="O12" s="28"/>
      <c r="P12" s="25"/>
      <c r="Q12" s="26"/>
      <c r="R12" s="26"/>
      <c r="S12" s="26"/>
      <c r="T12" s="26"/>
      <c r="U12" s="26"/>
      <c r="V12" s="28"/>
      <c r="W12" s="25"/>
      <c r="X12" s="26"/>
      <c r="Y12" s="26"/>
      <c r="Z12" s="26"/>
      <c r="AA12" s="28"/>
      <c r="AB12" s="26"/>
      <c r="AC12" s="26"/>
      <c r="AD12" s="26"/>
      <c r="AE12" s="26"/>
      <c r="AF12" s="28"/>
    </row>
    <row r="13" spans="1:32" x14ac:dyDescent="0.25">
      <c r="A13" t="s">
        <v>47</v>
      </c>
      <c r="B13" s="25"/>
      <c r="C13" s="26"/>
      <c r="D13" s="26"/>
      <c r="E13" s="26"/>
      <c r="F13" s="26"/>
      <c r="G13" s="26"/>
      <c r="H13" s="28"/>
      <c r="I13" s="25"/>
      <c r="J13" s="26"/>
      <c r="K13" s="26"/>
      <c r="L13" s="26"/>
      <c r="M13" s="26"/>
      <c r="N13" s="26"/>
      <c r="O13" s="28"/>
      <c r="P13" s="25"/>
      <c r="Q13" s="26"/>
      <c r="R13" s="26"/>
      <c r="S13" s="26"/>
      <c r="T13" s="26"/>
      <c r="U13" s="26"/>
      <c r="V13" s="28"/>
      <c r="W13" s="25"/>
      <c r="X13" s="26"/>
      <c r="Y13" s="26"/>
      <c r="Z13" s="26"/>
      <c r="AA13" s="28"/>
      <c r="AB13" s="26"/>
      <c r="AC13" s="26"/>
      <c r="AD13" s="26"/>
      <c r="AE13" s="26"/>
      <c r="AF13" s="28"/>
    </row>
    <row r="14" spans="1:32" x14ac:dyDescent="0.25">
      <c r="A14" t="s">
        <v>48</v>
      </c>
      <c r="B14" s="25"/>
      <c r="C14" s="26"/>
      <c r="D14" s="26"/>
      <c r="E14" s="26"/>
      <c r="F14" s="26"/>
      <c r="G14" s="26"/>
      <c r="H14" s="28"/>
      <c r="I14" s="25"/>
      <c r="J14" s="26"/>
      <c r="K14" s="26"/>
      <c r="L14" s="26"/>
      <c r="M14" s="26"/>
      <c r="N14" s="26"/>
      <c r="O14" s="28"/>
      <c r="P14" s="25"/>
      <c r="Q14" s="26"/>
      <c r="R14" s="26"/>
      <c r="S14" s="26"/>
      <c r="T14" s="26"/>
      <c r="U14" s="26"/>
      <c r="V14" s="28"/>
      <c r="W14" s="25"/>
      <c r="X14" s="26"/>
      <c r="Y14" s="26"/>
      <c r="Z14" s="26"/>
      <c r="AA14" s="28"/>
      <c r="AB14" s="26"/>
      <c r="AC14" s="26"/>
      <c r="AD14" s="26"/>
      <c r="AE14" s="26"/>
      <c r="AF14" s="28"/>
    </row>
    <row r="15" spans="1:32" x14ac:dyDescent="0.25">
      <c r="A15" s="6" t="s">
        <v>49</v>
      </c>
      <c r="B15" s="29"/>
      <c r="C15" s="26"/>
      <c r="D15" s="26"/>
      <c r="E15" s="26"/>
      <c r="F15" s="26"/>
      <c r="G15" s="26"/>
      <c r="H15" s="28"/>
      <c r="I15" s="25"/>
      <c r="J15" s="26"/>
      <c r="K15" s="26"/>
      <c r="L15" s="26"/>
      <c r="M15" s="26"/>
      <c r="N15" s="26"/>
      <c r="O15" s="28"/>
      <c r="P15" s="25"/>
      <c r="Q15" s="26"/>
      <c r="R15" s="26"/>
      <c r="S15" s="26"/>
      <c r="T15" s="26"/>
      <c r="U15" s="26"/>
      <c r="V15" s="28"/>
      <c r="W15" s="25"/>
      <c r="X15" s="26"/>
      <c r="Y15" s="26"/>
      <c r="Z15" s="26"/>
      <c r="AA15" s="28"/>
      <c r="AB15" s="26"/>
      <c r="AC15" s="26"/>
      <c r="AD15" s="26"/>
      <c r="AE15" s="26"/>
      <c r="AF15" s="28"/>
    </row>
    <row r="16" spans="1:32" x14ac:dyDescent="0.25">
      <c r="A16" s="6" t="s">
        <v>50</v>
      </c>
      <c r="B16" s="29"/>
      <c r="C16" s="26"/>
      <c r="D16" s="26"/>
      <c r="E16" s="26"/>
      <c r="F16" s="26"/>
      <c r="G16" s="26"/>
      <c r="H16" s="28"/>
      <c r="I16" s="25"/>
      <c r="J16" s="26"/>
      <c r="K16" s="26"/>
      <c r="L16" s="26"/>
      <c r="M16" s="26"/>
      <c r="N16" s="26"/>
      <c r="O16" s="28"/>
      <c r="P16" s="25"/>
      <c r="Q16" s="26"/>
      <c r="R16" s="26"/>
      <c r="S16" s="26"/>
      <c r="T16" s="26"/>
      <c r="U16" s="26"/>
      <c r="V16" s="28"/>
      <c r="W16" s="25"/>
      <c r="X16" s="26"/>
      <c r="Y16" s="26"/>
      <c r="Z16" s="26"/>
      <c r="AA16" s="28"/>
      <c r="AB16" s="26"/>
      <c r="AC16" s="26"/>
      <c r="AD16" s="26"/>
      <c r="AE16" s="26"/>
      <c r="AF16" s="28"/>
    </row>
    <row r="17" spans="1:32" x14ac:dyDescent="0.25">
      <c r="A17" t="s">
        <v>51</v>
      </c>
      <c r="B17" s="25"/>
      <c r="C17" s="26"/>
      <c r="D17" s="26"/>
      <c r="E17" s="26"/>
      <c r="F17" s="26"/>
      <c r="G17" s="26"/>
      <c r="H17" s="28"/>
      <c r="I17" s="25"/>
      <c r="J17" s="26"/>
      <c r="K17" s="26"/>
      <c r="L17" s="26"/>
      <c r="M17" s="26"/>
      <c r="N17" s="26"/>
      <c r="O17" s="28"/>
      <c r="P17" s="25"/>
      <c r="Q17" s="26"/>
      <c r="R17" s="26"/>
      <c r="S17" s="26"/>
      <c r="T17" s="26"/>
      <c r="U17" s="26"/>
      <c r="V17" s="28"/>
      <c r="W17" s="25"/>
      <c r="X17" s="26"/>
      <c r="Y17" s="26"/>
      <c r="Z17" s="26"/>
      <c r="AA17" s="28"/>
      <c r="AB17" s="26"/>
      <c r="AC17" s="26"/>
      <c r="AD17" s="26"/>
      <c r="AE17" s="26"/>
      <c r="AF17" s="28"/>
    </row>
    <row r="18" spans="1:32" x14ac:dyDescent="0.25">
      <c r="A18" t="s">
        <v>52</v>
      </c>
      <c r="B18" s="25"/>
      <c r="C18" s="26"/>
      <c r="D18" s="26"/>
      <c r="E18" s="26"/>
      <c r="F18" s="26"/>
      <c r="G18" s="26"/>
      <c r="H18" s="28"/>
      <c r="I18" s="25"/>
      <c r="J18" s="26"/>
      <c r="K18" s="26"/>
      <c r="L18" s="26"/>
      <c r="M18" s="26"/>
      <c r="N18" s="26"/>
      <c r="O18" s="28"/>
      <c r="P18" s="25"/>
      <c r="Q18" s="26"/>
      <c r="R18" s="26"/>
      <c r="S18" s="26"/>
      <c r="T18" s="26"/>
      <c r="U18" s="26"/>
      <c r="V18" s="28"/>
      <c r="W18" s="25"/>
      <c r="X18" s="26"/>
      <c r="Y18" s="26"/>
      <c r="Z18" s="26"/>
      <c r="AA18" s="28"/>
      <c r="AB18" s="26"/>
      <c r="AC18" s="26"/>
      <c r="AD18" s="26"/>
      <c r="AE18" s="26"/>
      <c r="AF18" s="28"/>
    </row>
    <row r="19" spans="1:32" x14ac:dyDescent="0.25">
      <c r="A19" t="s">
        <v>53</v>
      </c>
      <c r="B19" s="25"/>
      <c r="C19" s="26"/>
      <c r="D19" s="26"/>
      <c r="E19" s="26"/>
      <c r="F19" s="26"/>
      <c r="G19" s="26"/>
      <c r="H19" s="28"/>
      <c r="I19" s="25"/>
      <c r="J19" s="26"/>
      <c r="K19" s="26"/>
      <c r="L19" s="26"/>
      <c r="M19" s="26"/>
      <c r="N19" s="26"/>
      <c r="O19" s="28"/>
      <c r="P19" s="25"/>
      <c r="Q19" s="26"/>
      <c r="R19" s="26"/>
      <c r="S19" s="26"/>
      <c r="T19" s="26"/>
      <c r="U19" s="26"/>
      <c r="V19" s="28"/>
      <c r="W19" s="25"/>
      <c r="X19" s="26"/>
      <c r="Y19" s="26"/>
      <c r="Z19" s="26"/>
      <c r="AA19" s="28"/>
      <c r="AB19" s="26"/>
      <c r="AC19" s="26"/>
      <c r="AD19" s="26"/>
      <c r="AE19" s="26"/>
      <c r="AF19" s="28"/>
    </row>
    <row r="20" spans="1:32" x14ac:dyDescent="0.25">
      <c r="A20" t="s">
        <v>54</v>
      </c>
      <c r="B20" s="25"/>
      <c r="C20" s="26"/>
      <c r="D20" s="26"/>
      <c r="E20" s="26"/>
      <c r="F20" s="26"/>
      <c r="G20" s="26"/>
      <c r="H20" s="28"/>
      <c r="I20" s="25"/>
      <c r="J20" s="26"/>
      <c r="K20" s="26"/>
      <c r="L20" s="26"/>
      <c r="M20" s="26"/>
      <c r="N20" s="26"/>
      <c r="O20" s="28"/>
      <c r="P20" s="25"/>
      <c r="Q20" s="26"/>
      <c r="R20" s="26"/>
      <c r="S20" s="26"/>
      <c r="T20" s="26"/>
      <c r="U20" s="26"/>
      <c r="V20" s="28"/>
      <c r="W20" s="25"/>
      <c r="X20" s="26"/>
      <c r="Y20" s="26"/>
      <c r="Z20" s="26"/>
      <c r="AA20" s="28"/>
      <c r="AB20" s="26"/>
      <c r="AC20" s="26"/>
      <c r="AD20" s="26"/>
      <c r="AE20" s="26"/>
      <c r="AF20" s="28"/>
    </row>
    <row r="21" spans="1:32" x14ac:dyDescent="0.25">
      <c r="A21" t="s">
        <v>55</v>
      </c>
      <c r="B21" s="25"/>
      <c r="C21" s="26"/>
      <c r="D21" s="26"/>
      <c r="E21" s="26"/>
      <c r="F21" s="26"/>
      <c r="G21" s="26"/>
      <c r="H21" s="28"/>
      <c r="I21" s="25"/>
      <c r="J21" s="26"/>
      <c r="K21" s="26"/>
      <c r="L21" s="26"/>
      <c r="M21" s="26"/>
      <c r="N21" s="26"/>
      <c r="O21" s="28"/>
      <c r="P21" s="25"/>
      <c r="Q21" s="26"/>
      <c r="R21" s="26"/>
      <c r="S21" s="26"/>
      <c r="T21" s="26"/>
      <c r="U21" s="26"/>
      <c r="V21" s="28"/>
      <c r="W21" s="25"/>
      <c r="X21" s="26"/>
      <c r="Y21" s="26"/>
      <c r="Z21" s="26"/>
      <c r="AA21" s="28"/>
      <c r="AB21" s="26"/>
      <c r="AC21" s="26"/>
      <c r="AD21" s="26"/>
      <c r="AE21" s="26"/>
      <c r="AF21" s="28"/>
    </row>
    <row r="22" spans="1:32" x14ac:dyDescent="0.25">
      <c r="A22" t="s">
        <v>56</v>
      </c>
      <c r="B22" s="25"/>
      <c r="C22" s="26"/>
      <c r="D22" s="26"/>
      <c r="E22" s="278" t="s">
        <v>28</v>
      </c>
      <c r="F22" s="26"/>
      <c r="G22" s="26"/>
      <c r="H22" s="28"/>
      <c r="I22" s="25"/>
      <c r="J22" s="26"/>
      <c r="K22" s="26"/>
      <c r="L22" s="283" t="s">
        <v>28</v>
      </c>
      <c r="M22" s="26"/>
      <c r="N22" s="26"/>
      <c r="O22" s="28"/>
      <c r="P22" s="25"/>
      <c r="Q22" s="26"/>
      <c r="R22" s="26"/>
      <c r="S22" s="283" t="s">
        <v>28</v>
      </c>
      <c r="T22" s="26"/>
      <c r="U22" s="26"/>
      <c r="V22" s="28"/>
      <c r="W22" s="25"/>
      <c r="X22" s="26"/>
      <c r="Y22" s="26"/>
      <c r="Z22" s="283" t="s">
        <v>28</v>
      </c>
      <c r="AA22" s="28"/>
      <c r="AB22" s="26"/>
      <c r="AC22" s="26"/>
      <c r="AD22" s="26"/>
      <c r="AE22" s="26"/>
      <c r="AF22" s="28"/>
    </row>
    <row r="23" spans="1:32" x14ac:dyDescent="0.25">
      <c r="A23" t="s">
        <v>57</v>
      </c>
      <c r="B23" s="25"/>
      <c r="C23" s="26"/>
      <c r="D23" s="26"/>
      <c r="E23" s="279"/>
      <c r="F23" s="26"/>
      <c r="G23" s="26"/>
      <c r="H23" s="28"/>
      <c r="I23" s="25"/>
      <c r="J23" s="26"/>
      <c r="K23" s="26"/>
      <c r="L23" s="284"/>
      <c r="M23" s="26"/>
      <c r="N23" s="26"/>
      <c r="O23" s="28"/>
      <c r="P23" s="25"/>
      <c r="Q23" s="26"/>
      <c r="R23" s="26"/>
      <c r="S23" s="284"/>
      <c r="T23" s="26"/>
      <c r="U23" s="26"/>
      <c r="V23" s="28"/>
      <c r="W23" s="25"/>
      <c r="X23" s="26"/>
      <c r="Y23" s="26"/>
      <c r="Z23" s="284"/>
      <c r="AA23" s="28"/>
      <c r="AB23" s="26"/>
      <c r="AC23" s="26"/>
      <c r="AD23" s="26"/>
      <c r="AE23" s="26"/>
      <c r="AF23" s="28"/>
    </row>
    <row r="24" spans="1:32" x14ac:dyDescent="0.25">
      <c r="A24" t="s">
        <v>58</v>
      </c>
      <c r="B24" s="25"/>
      <c r="C24" s="26"/>
      <c r="D24" s="26"/>
      <c r="E24" s="26"/>
      <c r="F24" s="26"/>
      <c r="G24" s="26"/>
      <c r="H24" s="28"/>
      <c r="I24" s="25"/>
      <c r="J24" s="26"/>
      <c r="K24" s="26"/>
      <c r="L24" s="26"/>
      <c r="M24" s="26"/>
      <c r="N24" s="26"/>
      <c r="O24" s="28"/>
      <c r="P24" s="25"/>
      <c r="Q24" s="26"/>
      <c r="R24" s="26"/>
      <c r="S24" s="26"/>
      <c r="T24" s="26"/>
      <c r="U24" s="26"/>
      <c r="V24" s="28"/>
      <c r="W24" s="25"/>
      <c r="X24" s="26"/>
      <c r="Y24" s="26"/>
      <c r="Z24" s="26"/>
      <c r="AA24" s="28"/>
      <c r="AB24" s="26"/>
      <c r="AC24" s="26"/>
      <c r="AD24" s="26"/>
      <c r="AE24" s="26"/>
      <c r="AF24" s="28"/>
    </row>
    <row r="25" spans="1:32" x14ac:dyDescent="0.25">
      <c r="A25" t="s">
        <v>59</v>
      </c>
      <c r="B25" s="25"/>
      <c r="C25" s="26"/>
      <c r="D25" s="26"/>
      <c r="E25" s="26"/>
      <c r="F25" s="26"/>
      <c r="G25" s="26"/>
      <c r="H25" s="28"/>
      <c r="I25" s="25"/>
      <c r="J25" s="26"/>
      <c r="K25" s="26"/>
      <c r="L25" s="26"/>
      <c r="M25" s="26"/>
      <c r="N25" s="26"/>
      <c r="O25" s="28"/>
      <c r="P25" s="25"/>
      <c r="Q25" s="26"/>
      <c r="R25" s="283" t="s">
        <v>7</v>
      </c>
      <c r="S25" s="26"/>
      <c r="T25" s="26"/>
      <c r="U25" s="26"/>
      <c r="V25" s="28"/>
      <c r="W25" s="25"/>
      <c r="X25" s="26"/>
      <c r="Y25" s="34"/>
      <c r="Z25" s="26"/>
      <c r="AA25" s="28"/>
      <c r="AB25" s="26"/>
      <c r="AC25" s="26"/>
      <c r="AD25" s="283" t="s">
        <v>7</v>
      </c>
      <c r="AE25" s="26"/>
      <c r="AF25" s="28"/>
    </row>
    <row r="26" spans="1:32" x14ac:dyDescent="0.25">
      <c r="A26" t="s">
        <v>60</v>
      </c>
      <c r="B26" s="25"/>
      <c r="C26" s="278" t="s">
        <v>7</v>
      </c>
      <c r="D26" s="26"/>
      <c r="E26" s="26"/>
      <c r="F26" s="26"/>
      <c r="G26" s="26"/>
      <c r="H26" s="28"/>
      <c r="I26" s="25"/>
      <c r="J26" s="26"/>
      <c r="K26" s="26"/>
      <c r="L26" s="26"/>
      <c r="M26" s="26"/>
      <c r="N26" s="26"/>
      <c r="O26" s="28"/>
      <c r="P26" s="25"/>
      <c r="Q26" s="26"/>
      <c r="R26" s="284"/>
      <c r="S26" s="26"/>
      <c r="T26" s="26"/>
      <c r="U26" s="26"/>
      <c r="V26" s="28"/>
      <c r="W26" s="25"/>
      <c r="X26" s="26"/>
      <c r="Y26" s="34"/>
      <c r="Z26" s="26"/>
      <c r="AA26" s="28"/>
      <c r="AB26" s="26"/>
      <c r="AC26" s="26"/>
      <c r="AD26" s="284"/>
      <c r="AE26" s="26"/>
      <c r="AF26" s="28"/>
    </row>
    <row r="27" spans="1:32" x14ac:dyDescent="0.25">
      <c r="A27" t="s">
        <v>61</v>
      </c>
      <c r="B27" s="25"/>
      <c r="C27" s="279"/>
      <c r="D27" s="26"/>
      <c r="E27" s="26"/>
      <c r="F27" s="28"/>
      <c r="G27" s="26"/>
      <c r="H27" s="28"/>
      <c r="I27" s="287" t="s">
        <v>2</v>
      </c>
      <c r="J27" s="26"/>
      <c r="K27" s="26"/>
      <c r="L27" s="26"/>
      <c r="M27" s="26"/>
      <c r="N27" s="26"/>
      <c r="O27" s="28"/>
      <c r="P27" s="25"/>
      <c r="Q27" s="26"/>
      <c r="R27" s="26"/>
      <c r="S27" s="26"/>
      <c r="T27" s="26"/>
      <c r="U27" s="26"/>
      <c r="V27" s="28"/>
      <c r="W27" s="25"/>
      <c r="X27" s="26"/>
      <c r="Y27" s="26"/>
      <c r="Z27" s="26"/>
      <c r="AA27" s="28"/>
      <c r="AB27" s="26"/>
      <c r="AC27" s="26"/>
      <c r="AD27" s="26"/>
      <c r="AE27" s="26"/>
      <c r="AF27" s="28"/>
    </row>
    <row r="28" spans="1:32" ht="15" customHeight="1" x14ac:dyDescent="0.25">
      <c r="A28" t="s">
        <v>62</v>
      </c>
      <c r="B28" s="25"/>
      <c r="C28" s="26"/>
      <c r="D28" s="26"/>
      <c r="E28" s="26"/>
      <c r="F28" s="26"/>
      <c r="G28" s="26"/>
      <c r="H28" s="28"/>
      <c r="I28" s="288"/>
      <c r="J28" s="283" t="s">
        <v>4</v>
      </c>
      <c r="K28" s="26"/>
      <c r="L28" s="26"/>
      <c r="M28" s="26"/>
      <c r="N28" s="26"/>
      <c r="O28" s="28"/>
      <c r="P28" s="25"/>
      <c r="Q28" s="26"/>
      <c r="R28" s="26"/>
      <c r="S28" s="26"/>
      <c r="T28" s="26"/>
      <c r="U28" s="26"/>
      <c r="V28" s="28"/>
      <c r="W28" s="25"/>
      <c r="X28" s="26"/>
      <c r="Y28" s="26"/>
      <c r="Z28" s="26"/>
      <c r="AA28" s="28"/>
      <c r="AB28" s="26"/>
      <c r="AC28" s="283" t="s">
        <v>33</v>
      </c>
      <c r="AD28" s="26"/>
      <c r="AE28" s="26"/>
      <c r="AF28" s="28"/>
    </row>
    <row r="29" spans="1:32" x14ac:dyDescent="0.25">
      <c r="A29" t="s">
        <v>63</v>
      </c>
      <c r="B29" s="25"/>
      <c r="C29" s="26"/>
      <c r="D29" s="26"/>
      <c r="E29" s="26"/>
      <c r="F29" s="26"/>
      <c r="G29" s="26"/>
      <c r="H29" s="28"/>
      <c r="I29" s="25"/>
      <c r="J29" s="284"/>
      <c r="K29" s="26"/>
      <c r="L29" s="26"/>
      <c r="M29" s="26"/>
      <c r="N29" s="26"/>
      <c r="O29" s="28"/>
      <c r="P29" s="25"/>
      <c r="Q29" s="26"/>
      <c r="R29" s="26"/>
      <c r="S29" s="26"/>
      <c r="T29" s="26"/>
      <c r="U29" s="26"/>
      <c r="V29" s="28"/>
      <c r="W29" s="25"/>
      <c r="X29" s="26"/>
      <c r="Y29" s="26"/>
      <c r="Z29" s="26"/>
      <c r="AA29" s="28"/>
      <c r="AB29" s="26"/>
      <c r="AC29" s="284"/>
      <c r="AD29" s="26"/>
      <c r="AE29" s="26"/>
      <c r="AF29" s="28"/>
    </row>
    <row r="30" spans="1:32" ht="15.75" thickBot="1" x14ac:dyDescent="0.3">
      <c r="A30" s="7" t="s">
        <v>64</v>
      </c>
      <c r="B30" s="31"/>
      <c r="C30" s="32"/>
      <c r="D30" s="32"/>
      <c r="E30" s="32"/>
      <c r="F30" s="32"/>
      <c r="G30" s="32"/>
      <c r="H30" s="33"/>
      <c r="I30" s="31"/>
      <c r="J30" s="32"/>
      <c r="K30" s="32"/>
      <c r="L30" s="32"/>
      <c r="M30" s="32"/>
      <c r="N30" s="32"/>
      <c r="O30" s="33"/>
      <c r="P30" s="31"/>
      <c r="Q30" s="32"/>
      <c r="R30" s="32"/>
      <c r="S30" s="32"/>
      <c r="T30" s="32"/>
      <c r="U30" s="32"/>
      <c r="V30" s="33"/>
      <c r="W30" s="31"/>
      <c r="X30" s="32"/>
      <c r="Y30" s="32"/>
      <c r="Z30" s="32"/>
      <c r="AA30" s="33"/>
      <c r="AB30" s="32"/>
      <c r="AC30" s="32"/>
      <c r="AD30" s="32"/>
      <c r="AE30" s="32"/>
      <c r="AF30" s="33"/>
    </row>
    <row r="34" spans="1:6" ht="15.75" thickBot="1" x14ac:dyDescent="0.3">
      <c r="A34" s="36" t="s">
        <v>74</v>
      </c>
      <c r="B34" s="16" t="s">
        <v>69</v>
      </c>
      <c r="C34" s="16" t="s">
        <v>75</v>
      </c>
    </row>
    <row r="35" spans="1:6" x14ac:dyDescent="0.25">
      <c r="A35">
        <v>1</v>
      </c>
      <c r="B35" s="3" cm="1">
        <f t="array" ref="B35">SUMPRODUCT(($B$4:$F$30&lt;&gt;"")*SUMIF('Datos - Axis'!$B$3:$B$13,$B$4:$F$30,'Datos - Axis'!$E$3:$E$13))</f>
        <v>30500</v>
      </c>
      <c r="C35" s="1" t="s">
        <v>31</v>
      </c>
      <c r="D35" s="14"/>
      <c r="E35" s="14"/>
      <c r="F35" s="14"/>
    </row>
    <row r="36" spans="1:6" x14ac:dyDescent="0.25">
      <c r="A36">
        <v>2</v>
      </c>
      <c r="B36" s="3" cm="1">
        <f t="array" ref="B36">SUMPRODUCT(($I$4:$M$30&lt;&gt;"")*SUMIF('Datos - Axis'!$B$3:$B$13,$I$4:$M$30,'Datos - Axis'!$E$3:$E$13))</f>
        <v>51500</v>
      </c>
      <c r="C36" s="1" t="s">
        <v>31</v>
      </c>
    </row>
    <row r="37" spans="1:6" x14ac:dyDescent="0.25">
      <c r="A37">
        <v>3</v>
      </c>
      <c r="B37" s="3" cm="1">
        <f t="array" ref="B37">SUMPRODUCT(($P$4:$T$30&lt;&gt;"")*SUMIF('Datos - Axis'!$B$3:$B$13,$P$4:$T$30,'Datos - Axis'!$E$3:$E$13))</f>
        <v>51500</v>
      </c>
      <c r="C37" s="1" t="s">
        <v>31</v>
      </c>
    </row>
    <row r="38" spans="1:6" x14ac:dyDescent="0.25">
      <c r="A38">
        <v>4</v>
      </c>
      <c r="B38" s="3" cm="1">
        <f t="array" ref="B38">SUMPRODUCT(($W$4:$AA$30&lt;&gt;"")*SUMIF('Datos - Axis'!$B$3:$B$13,$W$4:$AA$30,'Datos - Axis'!$E$3:$E$13))</f>
        <v>41000</v>
      </c>
      <c r="C38" s="1" t="s">
        <v>31</v>
      </c>
    </row>
    <row r="39" spans="1:6" x14ac:dyDescent="0.25">
      <c r="A39">
        <v>5</v>
      </c>
      <c r="B39" s="3" cm="1">
        <f t="array" ref="B39">SUMPRODUCT(($AB$4:$AF$30&lt;&gt;"")*SUMIF('Datos - Axis'!$B$3:$B$13,$AB$4:$AF$30,'Datos - Axis'!$E$3:$E$13))</f>
        <v>42000</v>
      </c>
      <c r="C39" s="1" t="s">
        <v>31</v>
      </c>
    </row>
    <row r="41" spans="1:6" x14ac:dyDescent="0.25">
      <c r="A41" s="11" t="s">
        <v>76</v>
      </c>
      <c r="B41" s="23">
        <f>SUM(B35:B39)</f>
        <v>216500</v>
      </c>
    </row>
  </sheetData>
  <mergeCells count="26">
    <mergeCell ref="AF5:AF6"/>
    <mergeCell ref="AC28:AC29"/>
    <mergeCell ref="AD25:AD26"/>
    <mergeCell ref="AE6:AE7"/>
    <mergeCell ref="AB1:AF1"/>
    <mergeCell ref="C26:C27"/>
    <mergeCell ref="E22:E23"/>
    <mergeCell ref="F8:F9"/>
    <mergeCell ref="I27:I28"/>
    <mergeCell ref="J28:J29"/>
    <mergeCell ref="L22:L23"/>
    <mergeCell ref="P5:P6"/>
    <mergeCell ref="R25:R26"/>
    <mergeCell ref="Z22:Z23"/>
    <mergeCell ref="S22:S23"/>
    <mergeCell ref="B1:H1"/>
    <mergeCell ref="I1:O1"/>
    <mergeCell ref="P1:V1"/>
    <mergeCell ref="W1:AA1"/>
    <mergeCell ref="M7:M8"/>
    <mergeCell ref="T7:T8"/>
    <mergeCell ref="AA7:AA8"/>
    <mergeCell ref="S6:S7"/>
    <mergeCell ref="W5:W6"/>
    <mergeCell ref="Z6:Z7"/>
    <mergeCell ref="L6:L7"/>
  </mergeCells>
  <conditionalFormatting sqref="B41">
    <cfRule type="cellIs" dxfId="75" priority="1" operator="greaterThan">
      <formula>0</formula>
    </cfRule>
  </conditionalFormatting>
  <conditionalFormatting sqref="B35:C39">
    <cfRule type="expression" dxfId="74" priority="2">
      <formula>$C35="Si"</formula>
    </cfRule>
  </conditionalFormatting>
  <conditionalFormatting sqref="B4:AF30">
    <cfRule type="expression" dxfId="73" priority="3">
      <formula>B4&lt;&gt;""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DCA290-2F20-4B25-BE35-9D6B8754EF4E}">
          <x14:formula1>
            <xm:f>'Datos - Axis'!$B$3:$B$19</xm:f>
          </x14:formula1>
          <xm:sqref>B4:C8 AE6 AA4:AA7 X5:Y8 W5 W7:W8 Z8 Z5:Z6 U4:V8 S4:S6 Q4:R8 P4:P5 P7:P8 N4:O8 L4:L6 J4:K8 T4:T7 S8 L8 M4:M7 W4:Z4 D4:D6 E4 E6 F7:F8 F4:F5 G4:H8 D8:E8 I4:I6 I8</xm:sqref>
        </x14:dataValidation>
        <x14:dataValidation type="list" allowBlank="1" showInputMessage="1" showErrorMessage="1" xr:uid="{8FEC4E1C-255A-49B4-B3DF-8F12A5740CBB}">
          <x14:formula1>
            <xm:f>'Datos - Axis'!$B$3:$B$21</xm:f>
          </x14:formula1>
          <xm:sqref>B27:B30 AE8:AE30 AE4:AE5 AF4:AF30 AD4:AD25 AD27:AD30 AC4:AC28 AC30 AB7:AB30 AB4 AA9:AA26 Z9:Z22 Z24:Z26 Y9:Y25 W9:X26 W27:AA30 T9:V30 S9:S22 S24:S30 R9:R25 R27:R30 N9:Q30 L9:L22 J9:J28 I17:I27 G9:H30 E9:E22 C26 M9:M26 M28:M30 J30 K9:K18 K21:K30 I29:I30 C28:C30 E24:E28 C9:C24 I9:I15 E30 L24:L30 F10:F30 B9:B25 D9:D15 D17:D30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E610-8F92-4950-9685-5E4A0C0AD9E8}">
  <sheetPr codeName="Hoja8">
    <tabColor theme="7" tint="0.59999389629810485"/>
  </sheetPr>
  <dimension ref="A1:AA41"/>
  <sheetViews>
    <sheetView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Y21" sqref="Y21:Y22"/>
    </sheetView>
  </sheetViews>
  <sheetFormatPr baseColWidth="10" defaultRowHeight="15" x14ac:dyDescent="0.25"/>
  <cols>
    <col min="1" max="1" width="15.5703125" bestFit="1" customWidth="1"/>
    <col min="2" max="2" width="12" bestFit="1" customWidth="1"/>
    <col min="4" max="4" width="13.7109375" bestFit="1" customWidth="1"/>
    <col min="5" max="5" width="13.28515625" customWidth="1"/>
    <col min="6" max="6" width="14.28515625" customWidth="1"/>
    <col min="7" max="7" width="7.28515625" hidden="1" customWidth="1"/>
    <col min="8" max="8" width="8.85546875" hidden="1" customWidth="1"/>
    <col min="9" max="9" width="13.7109375" bestFit="1" customWidth="1"/>
    <col min="14" max="15" width="11.42578125" hidden="1" customWidth="1"/>
    <col min="21" max="22" width="11.42578125" hidden="1" customWidth="1"/>
  </cols>
  <sheetData>
    <row r="1" spans="1:27" x14ac:dyDescent="0.25">
      <c r="B1" s="280" t="s">
        <v>35</v>
      </c>
      <c r="C1" s="281"/>
      <c r="D1" s="281"/>
      <c r="E1" s="281"/>
      <c r="F1" s="281"/>
      <c r="G1" s="281"/>
      <c r="H1" s="282"/>
      <c r="I1" s="280" t="s">
        <v>36</v>
      </c>
      <c r="J1" s="281"/>
      <c r="K1" s="281"/>
      <c r="L1" s="281"/>
      <c r="M1" s="281"/>
      <c r="N1" s="281"/>
      <c r="O1" s="282"/>
      <c r="P1" s="280" t="s">
        <v>37</v>
      </c>
      <c r="Q1" s="281"/>
      <c r="R1" s="281"/>
      <c r="S1" s="281"/>
      <c r="T1" s="281"/>
      <c r="U1" s="281"/>
      <c r="V1" s="282"/>
      <c r="W1" s="280" t="s">
        <v>38</v>
      </c>
      <c r="X1" s="281"/>
      <c r="Y1" s="281"/>
      <c r="Z1" s="281"/>
      <c r="AA1" s="282"/>
    </row>
    <row r="2" spans="1:27" x14ac:dyDescent="0.25">
      <c r="B2" s="4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5" t="s">
        <v>27</v>
      </c>
      <c r="I2" s="4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5" t="s">
        <v>27</v>
      </c>
      <c r="P2" s="4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5" t="s">
        <v>27</v>
      </c>
      <c r="W2" s="4" t="s">
        <v>21</v>
      </c>
      <c r="X2" s="1" t="s">
        <v>22</v>
      </c>
      <c r="Y2" s="1" t="s">
        <v>23</v>
      </c>
      <c r="Z2" s="1" t="s">
        <v>24</v>
      </c>
      <c r="AA2" s="5" t="s">
        <v>25</v>
      </c>
    </row>
    <row r="3" spans="1:27" ht="15.75" thickBot="1" x14ac:dyDescent="0.3">
      <c r="A3" s="7"/>
      <c r="B3" s="8">
        <v>4</v>
      </c>
      <c r="C3" s="9">
        <v>5</v>
      </c>
      <c r="D3" s="9">
        <v>6</v>
      </c>
      <c r="E3" s="9">
        <v>7</v>
      </c>
      <c r="F3" s="10">
        <v>8</v>
      </c>
      <c r="G3" s="9">
        <v>9</v>
      </c>
      <c r="H3" s="8">
        <v>10</v>
      </c>
      <c r="I3" s="8">
        <v>11</v>
      </c>
      <c r="J3" s="9">
        <v>12</v>
      </c>
      <c r="K3" s="9">
        <v>13</v>
      </c>
      <c r="L3" s="9">
        <v>14</v>
      </c>
      <c r="M3" s="10">
        <v>15</v>
      </c>
      <c r="N3" s="8">
        <v>16</v>
      </c>
      <c r="O3" s="9">
        <v>17</v>
      </c>
      <c r="P3" s="8">
        <v>18</v>
      </c>
      <c r="Q3" s="9">
        <v>19</v>
      </c>
      <c r="R3" s="9">
        <v>20</v>
      </c>
      <c r="S3" s="9">
        <v>21</v>
      </c>
      <c r="T3" s="10">
        <v>22</v>
      </c>
      <c r="U3" s="9">
        <v>23</v>
      </c>
      <c r="V3" s="8">
        <v>24</v>
      </c>
      <c r="W3" s="8">
        <v>25</v>
      </c>
      <c r="X3" s="9">
        <v>26</v>
      </c>
      <c r="Y3" s="9">
        <v>27</v>
      </c>
      <c r="Z3" s="9">
        <v>28</v>
      </c>
      <c r="AA3" s="10">
        <v>29</v>
      </c>
    </row>
    <row r="4" spans="1:27" x14ac:dyDescent="0.25">
      <c r="A4" t="s">
        <v>40</v>
      </c>
      <c r="B4" s="37"/>
      <c r="C4" s="38"/>
      <c r="D4" s="38"/>
      <c r="E4" s="289" t="s">
        <v>33</v>
      </c>
      <c r="F4" s="38"/>
      <c r="G4" s="38"/>
      <c r="H4" s="40"/>
      <c r="I4" s="37"/>
      <c r="J4" s="38"/>
      <c r="K4" s="38"/>
      <c r="L4" s="289" t="s">
        <v>33</v>
      </c>
      <c r="M4" s="38"/>
      <c r="N4" s="38"/>
      <c r="O4" s="40"/>
      <c r="P4" s="37"/>
      <c r="Q4" s="38"/>
      <c r="R4" s="38"/>
      <c r="S4" s="289" t="s">
        <v>33</v>
      </c>
      <c r="T4" s="38"/>
      <c r="U4" s="38"/>
      <c r="V4" s="40"/>
      <c r="W4" s="37"/>
      <c r="X4" s="38"/>
      <c r="Y4" s="38"/>
      <c r="Z4" s="38"/>
      <c r="AA4" s="40"/>
    </row>
    <row r="5" spans="1:27" x14ac:dyDescent="0.25">
      <c r="A5" t="s">
        <v>41</v>
      </c>
      <c r="B5" s="37"/>
      <c r="C5" s="38"/>
      <c r="D5" s="38"/>
      <c r="E5" s="290"/>
      <c r="F5" s="287" t="s">
        <v>2</v>
      </c>
      <c r="G5" s="38"/>
      <c r="H5" s="40"/>
      <c r="I5" s="37"/>
      <c r="J5" s="38"/>
      <c r="K5" s="38"/>
      <c r="L5" s="290"/>
      <c r="M5" s="287" t="s">
        <v>2</v>
      </c>
      <c r="N5" s="38"/>
      <c r="O5" s="40"/>
      <c r="P5" s="37"/>
      <c r="Q5" s="38"/>
      <c r="R5" s="38"/>
      <c r="S5" s="290"/>
      <c r="T5" s="287" t="s">
        <v>2</v>
      </c>
      <c r="U5" s="38"/>
      <c r="V5" s="40"/>
      <c r="W5" s="37"/>
      <c r="X5" s="38"/>
      <c r="Y5" s="38"/>
      <c r="Z5" s="38"/>
      <c r="AA5" s="40"/>
    </row>
    <row r="6" spans="1:27" x14ac:dyDescent="0.25">
      <c r="A6" t="s">
        <v>42</v>
      </c>
      <c r="B6" s="37"/>
      <c r="C6" s="38"/>
      <c r="D6" s="39"/>
      <c r="E6" s="283" t="s">
        <v>9</v>
      </c>
      <c r="F6" s="288"/>
      <c r="G6" s="38"/>
      <c r="H6" s="40"/>
      <c r="I6" s="41"/>
      <c r="J6" s="38"/>
      <c r="K6" s="38"/>
      <c r="L6" s="283" t="s">
        <v>9</v>
      </c>
      <c r="M6" s="288"/>
      <c r="N6" s="38"/>
      <c r="O6" s="40"/>
      <c r="P6" s="41"/>
      <c r="Q6" s="38"/>
      <c r="R6" s="38"/>
      <c r="S6" s="283" t="s">
        <v>9</v>
      </c>
      <c r="T6" s="288"/>
      <c r="U6" s="38"/>
      <c r="V6" s="40"/>
      <c r="W6" s="37"/>
      <c r="X6" s="38"/>
      <c r="Y6" s="38"/>
      <c r="Z6" s="38"/>
      <c r="AA6" s="40"/>
    </row>
    <row r="7" spans="1:27" x14ac:dyDescent="0.25">
      <c r="A7" t="s">
        <v>43</v>
      </c>
      <c r="B7" s="37"/>
      <c r="C7" s="38"/>
      <c r="D7" s="39"/>
      <c r="E7" s="284"/>
      <c r="F7" s="38"/>
      <c r="G7" s="38"/>
      <c r="H7" s="40"/>
      <c r="I7" s="41"/>
      <c r="J7" s="38"/>
      <c r="K7" s="38"/>
      <c r="L7" s="284"/>
      <c r="M7" s="38"/>
      <c r="N7" s="38"/>
      <c r="O7" s="40"/>
      <c r="P7" s="41"/>
      <c r="Q7" s="38"/>
      <c r="R7" s="38"/>
      <c r="S7" s="284"/>
      <c r="T7" s="38"/>
      <c r="U7" s="38"/>
      <c r="V7" s="40"/>
      <c r="W7" s="37"/>
      <c r="X7" s="38"/>
      <c r="Y7" s="38"/>
      <c r="Z7" s="38"/>
      <c r="AA7" s="40"/>
    </row>
    <row r="8" spans="1:27" x14ac:dyDescent="0.25">
      <c r="A8" t="s">
        <v>65</v>
      </c>
      <c r="B8" s="37"/>
      <c r="C8" s="38"/>
      <c r="D8" s="38"/>
      <c r="E8" s="38"/>
      <c r="F8" s="38"/>
      <c r="G8" s="38"/>
      <c r="H8" s="40"/>
      <c r="I8" s="37"/>
      <c r="J8" s="38"/>
      <c r="K8" s="38"/>
      <c r="L8" s="38"/>
      <c r="M8" s="38"/>
      <c r="N8" s="38"/>
      <c r="O8" s="40"/>
      <c r="P8" s="37"/>
      <c r="Q8" s="38"/>
      <c r="R8" s="38"/>
      <c r="S8" s="38"/>
      <c r="T8" s="38"/>
      <c r="U8" s="38"/>
      <c r="V8" s="40"/>
      <c r="W8" s="37"/>
      <c r="X8" s="38"/>
      <c r="Y8" s="38"/>
      <c r="Z8" s="38"/>
      <c r="AA8" s="40"/>
    </row>
    <row r="9" spans="1:27" x14ac:dyDescent="0.25">
      <c r="A9" t="s">
        <v>66</v>
      </c>
      <c r="B9" s="37"/>
      <c r="C9" s="38"/>
      <c r="D9" s="38"/>
      <c r="E9" s="38"/>
      <c r="F9" s="38"/>
      <c r="G9" s="38"/>
      <c r="H9" s="40"/>
      <c r="I9" s="37"/>
      <c r="J9" s="38"/>
      <c r="K9" s="38"/>
      <c r="L9" s="38"/>
      <c r="M9" s="38"/>
      <c r="N9" s="38"/>
      <c r="O9" s="40"/>
      <c r="P9" s="37"/>
      <c r="Q9" s="38"/>
      <c r="R9" s="38"/>
      <c r="S9" s="38"/>
      <c r="T9" s="38"/>
      <c r="U9" s="38"/>
      <c r="V9" s="40"/>
      <c r="W9" s="37"/>
      <c r="X9" s="38"/>
      <c r="Y9" s="38"/>
      <c r="Z9" s="38"/>
      <c r="AA9" s="40"/>
    </row>
    <row r="10" spans="1:27" x14ac:dyDescent="0.25">
      <c r="A10" t="s">
        <v>44</v>
      </c>
      <c r="B10" s="37"/>
      <c r="C10" s="38"/>
      <c r="D10" s="38"/>
      <c r="E10" s="38"/>
      <c r="F10" s="38"/>
      <c r="G10" s="38"/>
      <c r="H10" s="40"/>
      <c r="I10" s="37"/>
      <c r="J10" s="38"/>
      <c r="K10" s="38"/>
      <c r="L10" s="38"/>
      <c r="M10" s="38"/>
      <c r="N10" s="38"/>
      <c r="O10" s="40"/>
      <c r="P10" s="37"/>
      <c r="Q10" s="38"/>
      <c r="R10" s="38"/>
      <c r="S10" s="38"/>
      <c r="T10" s="38"/>
      <c r="U10" s="38"/>
      <c r="V10" s="40"/>
      <c r="W10" s="37"/>
      <c r="X10" s="38"/>
      <c r="Y10" s="38"/>
      <c r="Z10" s="38"/>
      <c r="AA10" s="40"/>
    </row>
    <row r="11" spans="1:27" x14ac:dyDescent="0.25">
      <c r="A11" t="s">
        <v>45</v>
      </c>
      <c r="B11" s="37"/>
      <c r="C11" s="38"/>
      <c r="D11" s="38"/>
      <c r="E11" s="38"/>
      <c r="F11" s="38"/>
      <c r="G11" s="38"/>
      <c r="H11" s="40"/>
      <c r="I11" s="37"/>
      <c r="J11" s="38"/>
      <c r="K11" s="38"/>
      <c r="L11" s="38"/>
      <c r="M11" s="38"/>
      <c r="N11" s="38"/>
      <c r="O11" s="40"/>
      <c r="P11" s="37"/>
      <c r="Q11" s="38"/>
      <c r="R11" s="38"/>
      <c r="S11" s="38"/>
      <c r="T11" s="38"/>
      <c r="U11" s="38"/>
      <c r="V11" s="40"/>
      <c r="W11" s="37"/>
      <c r="X11" s="38"/>
      <c r="Y11" s="38"/>
      <c r="Z11" s="38"/>
      <c r="AA11" s="40"/>
    </row>
    <row r="12" spans="1:27" x14ac:dyDescent="0.25">
      <c r="A12" t="s">
        <v>46</v>
      </c>
      <c r="B12" s="37"/>
      <c r="C12" s="38"/>
      <c r="D12" s="38"/>
      <c r="E12" s="38"/>
      <c r="F12" s="38"/>
      <c r="G12" s="38"/>
      <c r="H12" s="40"/>
      <c r="I12" s="37"/>
      <c r="J12" s="38"/>
      <c r="K12" s="38"/>
      <c r="L12" s="38"/>
      <c r="M12" s="38"/>
      <c r="N12" s="38"/>
      <c r="O12" s="40"/>
      <c r="P12" s="37"/>
      <c r="Q12" s="38"/>
      <c r="R12" s="38"/>
      <c r="S12" s="38"/>
      <c r="T12" s="38"/>
      <c r="U12" s="38"/>
      <c r="V12" s="40"/>
      <c r="W12" s="37"/>
      <c r="X12" s="38"/>
      <c r="Y12" s="38"/>
      <c r="Z12" s="38"/>
      <c r="AA12" s="40"/>
    </row>
    <row r="13" spans="1:27" x14ac:dyDescent="0.25">
      <c r="A13" t="s">
        <v>47</v>
      </c>
      <c r="B13" s="37"/>
      <c r="C13" s="38"/>
      <c r="D13" s="38"/>
      <c r="E13" s="38"/>
      <c r="F13" s="38"/>
      <c r="G13" s="38"/>
      <c r="H13" s="40"/>
      <c r="I13" s="37"/>
      <c r="J13" s="38"/>
      <c r="K13" s="38"/>
      <c r="L13" s="38"/>
      <c r="M13" s="38"/>
      <c r="N13" s="38"/>
      <c r="O13" s="40"/>
      <c r="P13" s="37"/>
      <c r="Q13" s="38"/>
      <c r="R13" s="38"/>
      <c r="S13" s="38"/>
      <c r="T13" s="38"/>
      <c r="U13" s="38"/>
      <c r="V13" s="40"/>
      <c r="W13" s="37"/>
      <c r="X13" s="38"/>
      <c r="Y13" s="38"/>
      <c r="Z13" s="38"/>
      <c r="AA13" s="40"/>
    </row>
    <row r="14" spans="1:27" x14ac:dyDescent="0.25">
      <c r="A14" t="s">
        <v>48</v>
      </c>
      <c r="B14" s="37"/>
      <c r="C14" s="38"/>
      <c r="D14" s="38"/>
      <c r="E14" s="38"/>
      <c r="F14" s="38"/>
      <c r="G14" s="38"/>
      <c r="H14" s="40"/>
      <c r="I14" s="37"/>
      <c r="J14" s="38"/>
      <c r="K14" s="38"/>
      <c r="L14" s="38"/>
      <c r="M14" s="38"/>
      <c r="N14" s="38"/>
      <c r="O14" s="40"/>
      <c r="P14" s="37"/>
      <c r="Q14" s="38"/>
      <c r="R14" s="38"/>
      <c r="S14" s="38"/>
      <c r="T14" s="38"/>
      <c r="U14" s="38"/>
      <c r="V14" s="40"/>
      <c r="W14" s="37"/>
      <c r="X14" s="38"/>
      <c r="Y14" s="38"/>
      <c r="Z14" s="38"/>
      <c r="AA14" s="40"/>
    </row>
    <row r="15" spans="1:27" x14ac:dyDescent="0.25">
      <c r="A15" t="s">
        <v>49</v>
      </c>
      <c r="B15" s="37"/>
      <c r="C15" s="38"/>
      <c r="D15" s="39"/>
      <c r="E15" s="38"/>
      <c r="F15" s="40"/>
      <c r="G15" s="38"/>
      <c r="H15" s="38"/>
      <c r="I15" s="39"/>
      <c r="J15" s="38"/>
      <c r="K15" s="38"/>
      <c r="L15" s="38"/>
      <c r="M15" s="38"/>
      <c r="N15" s="38"/>
      <c r="O15" s="40"/>
      <c r="P15" s="41"/>
      <c r="Q15" s="38"/>
      <c r="R15" s="38"/>
      <c r="S15" s="38"/>
      <c r="T15" s="38"/>
      <c r="U15" s="38"/>
      <c r="V15" s="40"/>
      <c r="W15" s="37"/>
      <c r="X15" s="38"/>
      <c r="Y15" s="38"/>
      <c r="Z15" s="38"/>
      <c r="AA15" s="40"/>
    </row>
    <row r="16" spans="1:27" x14ac:dyDescent="0.25">
      <c r="A16" t="s">
        <v>50</v>
      </c>
      <c r="B16" s="37"/>
      <c r="C16" s="38"/>
      <c r="D16" s="39"/>
      <c r="E16" s="38"/>
      <c r="F16" s="40"/>
      <c r="G16" s="38"/>
      <c r="H16" s="38"/>
      <c r="I16" s="39"/>
      <c r="J16" s="38"/>
      <c r="K16" s="38"/>
      <c r="L16" s="38"/>
      <c r="M16" s="38"/>
      <c r="N16" s="38"/>
      <c r="O16" s="40"/>
      <c r="P16" s="41"/>
      <c r="Q16" s="38"/>
      <c r="R16" s="38"/>
      <c r="S16" s="38"/>
      <c r="T16" s="38"/>
      <c r="U16" s="38"/>
      <c r="V16" s="40"/>
      <c r="W16" s="37"/>
      <c r="X16" s="38"/>
      <c r="Y16" s="38"/>
      <c r="Z16" s="38"/>
      <c r="AA16" s="40"/>
    </row>
    <row r="17" spans="1:27" x14ac:dyDescent="0.25">
      <c r="A17" t="s">
        <v>51</v>
      </c>
      <c r="B17" s="37"/>
      <c r="C17" s="38"/>
      <c r="D17" s="38"/>
      <c r="E17" s="38"/>
      <c r="F17" s="38"/>
      <c r="G17" s="38"/>
      <c r="H17" s="40"/>
      <c r="I17" s="37"/>
      <c r="J17" s="38"/>
      <c r="K17" s="38"/>
      <c r="L17" s="38"/>
      <c r="M17" s="38"/>
      <c r="N17" s="38"/>
      <c r="O17" s="40"/>
      <c r="P17" s="37"/>
      <c r="Q17" s="38"/>
      <c r="R17" s="38"/>
      <c r="S17" s="38"/>
      <c r="T17" s="38"/>
      <c r="U17" s="38"/>
      <c r="V17" s="40"/>
      <c r="W17" s="37"/>
      <c r="X17" s="38"/>
      <c r="Y17" s="38"/>
      <c r="Z17" s="38"/>
      <c r="AA17" s="40"/>
    </row>
    <row r="18" spans="1:27" x14ac:dyDescent="0.25">
      <c r="A18" t="s">
        <v>52</v>
      </c>
      <c r="B18" s="37"/>
      <c r="C18" s="38"/>
      <c r="D18" s="38"/>
      <c r="E18" s="38"/>
      <c r="F18" s="38"/>
      <c r="G18" s="38"/>
      <c r="H18" s="40"/>
      <c r="I18" s="37"/>
      <c r="J18" s="38"/>
      <c r="K18" s="38"/>
      <c r="L18" s="38"/>
      <c r="M18" s="38"/>
      <c r="N18" s="38"/>
      <c r="O18" s="40"/>
      <c r="P18" s="37"/>
      <c r="Q18" s="38"/>
      <c r="R18" s="38"/>
      <c r="S18" s="38"/>
      <c r="T18" s="38"/>
      <c r="U18" s="38"/>
      <c r="V18" s="40"/>
      <c r="W18" s="37"/>
      <c r="X18" s="38"/>
      <c r="Y18" s="38"/>
      <c r="Z18" s="38"/>
      <c r="AA18" s="40"/>
    </row>
    <row r="19" spans="1:27" x14ac:dyDescent="0.25">
      <c r="A19" t="s">
        <v>53</v>
      </c>
      <c r="B19" s="37"/>
      <c r="C19" s="38"/>
      <c r="D19" s="38"/>
      <c r="E19" s="38"/>
      <c r="F19" s="38"/>
      <c r="G19" s="38"/>
      <c r="H19" s="40"/>
      <c r="I19" s="37"/>
      <c r="J19" s="38"/>
      <c r="K19" s="38"/>
      <c r="L19" s="38"/>
      <c r="M19" s="38"/>
      <c r="N19" s="38"/>
      <c r="O19" s="40"/>
      <c r="P19" s="37"/>
      <c r="Q19" s="38"/>
      <c r="R19" s="38"/>
      <c r="S19" s="38"/>
      <c r="T19" s="38"/>
      <c r="U19" s="38"/>
      <c r="V19" s="40"/>
      <c r="W19" s="37"/>
      <c r="X19" s="38"/>
      <c r="Y19" s="38"/>
      <c r="Z19" s="38"/>
      <c r="AA19" s="40"/>
    </row>
    <row r="20" spans="1:27" x14ac:dyDescent="0.25">
      <c r="A20" t="s">
        <v>54</v>
      </c>
      <c r="B20" s="37"/>
      <c r="C20" s="38"/>
      <c r="D20" s="38"/>
      <c r="E20" s="38"/>
      <c r="F20" s="38"/>
      <c r="G20" s="38"/>
      <c r="H20" s="40"/>
      <c r="I20" s="37"/>
      <c r="J20" s="38"/>
      <c r="K20" s="38"/>
      <c r="L20" s="38"/>
      <c r="M20" s="38"/>
      <c r="N20" s="38"/>
      <c r="O20" s="40"/>
      <c r="P20" s="37"/>
      <c r="Q20" s="38"/>
      <c r="R20" s="38"/>
      <c r="S20" s="38"/>
      <c r="T20" s="38"/>
      <c r="U20" s="38"/>
      <c r="V20" s="40"/>
      <c r="W20" s="37"/>
      <c r="X20" s="38"/>
      <c r="Y20" s="38"/>
      <c r="Z20" s="38"/>
      <c r="AA20" s="40"/>
    </row>
    <row r="21" spans="1:27" ht="15" customHeight="1" x14ac:dyDescent="0.25">
      <c r="A21" t="s">
        <v>55</v>
      </c>
      <c r="B21" s="37"/>
      <c r="C21" s="38"/>
      <c r="D21" s="38"/>
      <c r="E21" s="38"/>
      <c r="F21" s="38"/>
      <c r="G21" s="38"/>
      <c r="H21" s="40"/>
      <c r="I21" s="37"/>
      <c r="J21" s="38"/>
      <c r="K21" s="38"/>
      <c r="L21" s="38"/>
      <c r="M21" s="38"/>
      <c r="N21" s="38"/>
      <c r="O21" s="40"/>
      <c r="P21" s="37"/>
      <c r="Q21" s="38"/>
      <c r="R21" s="38"/>
      <c r="S21" s="38"/>
      <c r="T21" s="38"/>
      <c r="U21" s="38"/>
      <c r="V21" s="40"/>
      <c r="W21" s="37"/>
      <c r="X21" s="38"/>
      <c r="Y21" s="283" t="s">
        <v>34</v>
      </c>
      <c r="Z21" s="38"/>
      <c r="AA21" s="40"/>
    </row>
    <row r="22" spans="1:27" x14ac:dyDescent="0.25">
      <c r="A22" t="s">
        <v>56</v>
      </c>
      <c r="B22" s="37"/>
      <c r="C22" s="38"/>
      <c r="D22" s="38"/>
      <c r="E22" s="38"/>
      <c r="F22" s="38"/>
      <c r="G22" s="38"/>
      <c r="H22" s="40"/>
      <c r="I22" s="37"/>
      <c r="J22" s="38"/>
      <c r="K22" s="38"/>
      <c r="L22" s="38"/>
      <c r="M22" s="38"/>
      <c r="N22" s="38"/>
      <c r="O22" s="40"/>
      <c r="P22" s="37"/>
      <c r="Q22" s="38"/>
      <c r="R22" s="38"/>
      <c r="S22" s="38"/>
      <c r="T22" s="38"/>
      <c r="U22" s="38"/>
      <c r="V22" s="40"/>
      <c r="W22" s="37"/>
      <c r="X22" s="38"/>
      <c r="Y22" s="284"/>
      <c r="Z22" s="38"/>
      <c r="AA22" s="40"/>
    </row>
    <row r="23" spans="1:27" x14ac:dyDescent="0.25">
      <c r="A23" t="s">
        <v>57</v>
      </c>
      <c r="B23" s="37"/>
      <c r="C23" s="38"/>
      <c r="D23" s="38"/>
      <c r="E23" s="38"/>
      <c r="F23" s="38"/>
      <c r="G23" s="38"/>
      <c r="H23" s="40"/>
      <c r="I23" s="37"/>
      <c r="J23" s="38"/>
      <c r="K23" s="38"/>
      <c r="L23" s="38"/>
      <c r="M23" s="38"/>
      <c r="N23" s="38"/>
      <c r="O23" s="40"/>
      <c r="P23" s="37"/>
      <c r="Q23" s="38"/>
      <c r="R23" s="38"/>
      <c r="S23" s="38"/>
      <c r="T23" s="38"/>
      <c r="U23" s="38"/>
      <c r="V23" s="40"/>
      <c r="W23" s="37"/>
      <c r="X23" s="38"/>
      <c r="Y23" s="38"/>
      <c r="Z23" s="38"/>
      <c r="AA23" s="40"/>
    </row>
    <row r="24" spans="1:27" x14ac:dyDescent="0.25">
      <c r="A24" t="s">
        <v>58</v>
      </c>
      <c r="B24" s="37"/>
      <c r="C24" s="38"/>
      <c r="D24" s="38"/>
      <c r="E24" s="38"/>
      <c r="F24" s="38"/>
      <c r="G24" s="38"/>
      <c r="H24" s="40"/>
      <c r="I24" s="37"/>
      <c r="J24" s="38"/>
      <c r="K24" s="38"/>
      <c r="L24" s="38"/>
      <c r="M24" s="38"/>
      <c r="N24" s="38"/>
      <c r="O24" s="40"/>
      <c r="P24" s="37"/>
      <c r="Q24" s="38"/>
      <c r="R24" s="38"/>
      <c r="S24" s="38"/>
      <c r="T24" s="38"/>
      <c r="U24" s="38"/>
      <c r="V24" s="40"/>
      <c r="W24" s="37"/>
      <c r="X24" s="38"/>
      <c r="Y24" s="38"/>
      <c r="Z24" s="38"/>
      <c r="AA24" s="40"/>
    </row>
    <row r="25" spans="1:27" x14ac:dyDescent="0.25">
      <c r="A25" t="s">
        <v>59</v>
      </c>
      <c r="B25" s="41"/>
      <c r="C25" s="38"/>
      <c r="D25" s="38"/>
      <c r="E25" s="38"/>
      <c r="F25" s="38"/>
      <c r="G25" s="38"/>
      <c r="H25" s="40"/>
      <c r="I25" s="291" t="s">
        <v>34</v>
      </c>
      <c r="J25" s="38"/>
      <c r="K25" s="38"/>
      <c r="L25" s="38"/>
      <c r="M25" s="38"/>
      <c r="N25" s="38"/>
      <c r="O25" s="40"/>
      <c r="P25" s="41"/>
      <c r="Q25" s="38"/>
      <c r="R25" s="38"/>
      <c r="S25" s="38"/>
      <c r="T25" s="38"/>
      <c r="U25" s="38"/>
      <c r="V25" s="40"/>
      <c r="W25" s="37"/>
      <c r="X25" s="38"/>
      <c r="Y25" s="38"/>
      <c r="Z25" s="38"/>
      <c r="AA25" s="40"/>
    </row>
    <row r="26" spans="1:27" x14ac:dyDescent="0.25">
      <c r="A26" t="s">
        <v>60</v>
      </c>
      <c r="B26" s="41"/>
      <c r="C26" s="38"/>
      <c r="D26" s="38"/>
      <c r="E26" s="38"/>
      <c r="F26" s="38"/>
      <c r="G26" s="38"/>
      <c r="H26" s="40"/>
      <c r="I26" s="292"/>
      <c r="J26" s="38"/>
      <c r="K26" s="38"/>
      <c r="L26" s="38"/>
      <c r="M26" s="38"/>
      <c r="N26" s="38"/>
      <c r="O26" s="40"/>
      <c r="P26" s="41"/>
      <c r="Q26" s="38"/>
      <c r="R26" s="38"/>
      <c r="S26" s="38"/>
      <c r="T26" s="38"/>
      <c r="U26" s="38"/>
      <c r="V26" s="40"/>
      <c r="W26" s="37"/>
      <c r="X26" s="38"/>
      <c r="Y26" s="38"/>
      <c r="Z26" s="38"/>
      <c r="AA26" s="40"/>
    </row>
    <row r="27" spans="1:27" x14ac:dyDescent="0.25">
      <c r="A27" t="s">
        <v>61</v>
      </c>
      <c r="B27" s="37"/>
      <c r="C27" s="38"/>
      <c r="D27" s="38"/>
      <c r="E27" s="283" t="s">
        <v>34</v>
      </c>
      <c r="F27" s="38"/>
      <c r="G27" s="38"/>
      <c r="H27" s="40"/>
      <c r="I27" s="37"/>
      <c r="J27" s="38"/>
      <c r="K27" s="38"/>
      <c r="L27" s="38"/>
      <c r="M27" s="38"/>
      <c r="N27" s="38"/>
      <c r="O27" s="40"/>
      <c r="P27" s="37"/>
      <c r="Q27" s="38"/>
      <c r="R27" s="38"/>
      <c r="S27" s="38"/>
      <c r="T27" s="38"/>
      <c r="U27" s="38"/>
      <c r="V27" s="40"/>
      <c r="W27" s="37"/>
      <c r="X27" s="38"/>
      <c r="Y27" s="38"/>
      <c r="Z27" s="38"/>
      <c r="AA27" s="40"/>
    </row>
    <row r="28" spans="1:27" x14ac:dyDescent="0.25">
      <c r="A28" t="s">
        <v>62</v>
      </c>
      <c r="B28" s="37"/>
      <c r="C28" s="38"/>
      <c r="D28" s="38"/>
      <c r="E28" s="284"/>
      <c r="F28" s="38"/>
      <c r="G28" s="38"/>
      <c r="H28" s="40"/>
      <c r="I28" s="37"/>
      <c r="J28" s="38"/>
      <c r="K28" s="38"/>
      <c r="L28" s="38"/>
      <c r="M28" s="38"/>
      <c r="N28" s="38"/>
      <c r="O28" s="40"/>
      <c r="P28" s="37"/>
      <c r="Q28" s="38"/>
      <c r="R28" s="38"/>
      <c r="S28" s="38"/>
      <c r="T28" s="38"/>
      <c r="U28" s="38"/>
      <c r="V28" s="40"/>
      <c r="W28" s="37"/>
      <c r="X28" s="38"/>
      <c r="Y28" s="38"/>
      <c r="Z28" s="38"/>
      <c r="AA28" s="40"/>
    </row>
    <row r="29" spans="1:27" x14ac:dyDescent="0.25">
      <c r="A29" t="s">
        <v>63</v>
      </c>
      <c r="B29" s="37"/>
      <c r="C29" s="38"/>
      <c r="D29" s="38"/>
      <c r="E29" s="38"/>
      <c r="F29" s="38"/>
      <c r="G29" s="38"/>
      <c r="H29" s="40"/>
      <c r="I29" s="37"/>
      <c r="J29" s="38"/>
      <c r="K29" s="38"/>
      <c r="L29" s="38"/>
      <c r="M29" s="38"/>
      <c r="N29" s="38"/>
      <c r="O29" s="40"/>
      <c r="P29" s="37"/>
      <c r="Q29" s="38"/>
      <c r="R29" s="38"/>
      <c r="S29" s="38"/>
      <c r="T29" s="38"/>
      <c r="U29" s="38"/>
      <c r="V29" s="40"/>
      <c r="W29" s="37"/>
      <c r="X29" s="38"/>
      <c r="Y29" s="38"/>
      <c r="Z29" s="38"/>
      <c r="AA29" s="40"/>
    </row>
    <row r="30" spans="1:27" ht="15.75" thickBot="1" x14ac:dyDescent="0.3">
      <c r="A30" s="7" t="s">
        <v>64</v>
      </c>
      <c r="B30" s="42"/>
      <c r="C30" s="43"/>
      <c r="D30" s="43"/>
      <c r="E30" s="43"/>
      <c r="F30" s="43"/>
      <c r="G30" s="43"/>
      <c r="H30" s="44"/>
      <c r="I30" s="42"/>
      <c r="J30" s="43"/>
      <c r="K30" s="43"/>
      <c r="L30" s="43"/>
      <c r="M30" s="43"/>
      <c r="N30" s="43"/>
      <c r="O30" s="44"/>
      <c r="P30" s="42"/>
      <c r="Q30" s="43"/>
      <c r="R30" s="43"/>
      <c r="S30" s="43"/>
      <c r="T30" s="43"/>
      <c r="U30" s="43"/>
      <c r="V30" s="44"/>
      <c r="W30" s="42"/>
      <c r="X30" s="43"/>
      <c r="Y30" s="43"/>
      <c r="Z30" s="43"/>
      <c r="AA30" s="44"/>
    </row>
    <row r="34" spans="1:6" ht="15.75" thickBot="1" x14ac:dyDescent="0.3">
      <c r="A34" s="36" t="s">
        <v>74</v>
      </c>
      <c r="B34" s="16" t="s">
        <v>69</v>
      </c>
      <c r="C34" s="16" t="s">
        <v>75</v>
      </c>
    </row>
    <row r="35" spans="1:6" x14ac:dyDescent="0.25">
      <c r="A35">
        <v>1</v>
      </c>
      <c r="B35" s="3" cm="1">
        <f t="array" ref="B35">SUMPRODUCT(($B$4:$F$30&lt;&gt;"")*SUMIF('Datos - Axis'!$B$3:$B$13,$B$4:$F$30,'Datos - Axis'!$E$3:$E$13))</f>
        <v>43000</v>
      </c>
      <c r="C35" s="1" t="s">
        <v>31</v>
      </c>
      <c r="D35" s="14"/>
      <c r="E35" s="14"/>
      <c r="F35" s="14"/>
    </row>
    <row r="36" spans="1:6" x14ac:dyDescent="0.25">
      <c r="A36">
        <v>2</v>
      </c>
      <c r="B36" s="3" cm="1">
        <f t="array" ref="B36">SUMPRODUCT(($I$4:$M$30&lt;&gt;"")*SUMIF('Datos - Axis'!$B$3:$B$13,$I$4:$M$30,'Datos - Axis'!$E$3:$E$13))</f>
        <v>43000</v>
      </c>
      <c r="C36" s="1" t="s">
        <v>31</v>
      </c>
    </row>
    <row r="37" spans="1:6" x14ac:dyDescent="0.25">
      <c r="A37">
        <v>3</v>
      </c>
      <c r="B37" s="3" cm="1">
        <f t="array" ref="B37">SUMPRODUCT(($P$4:$T$30&lt;&gt;"")*SUMIF('Datos - Axis'!$B$3:$B$13,$P$4:$T$30,'Datos - Axis'!$E$3:$E$13))</f>
        <v>31500</v>
      </c>
      <c r="C37" s="1" t="s">
        <v>31</v>
      </c>
    </row>
    <row r="38" spans="1:6" x14ac:dyDescent="0.25">
      <c r="A38">
        <v>4</v>
      </c>
      <c r="B38" s="3" cm="1">
        <f t="array" ref="B38">SUMPRODUCT(($W$4:$AA$30&lt;&gt;"")*SUMIF('Datos - Axis'!$B$3:$B$13,$W$4:$AA$30,'Datos - Axis'!$E$3:$E$13))</f>
        <v>11500</v>
      </c>
      <c r="C38" s="1" t="s">
        <v>31</v>
      </c>
    </row>
    <row r="39" spans="1:6" x14ac:dyDescent="0.25">
      <c r="B39" s="3"/>
      <c r="C39" s="1"/>
    </row>
    <row r="41" spans="1:6" x14ac:dyDescent="0.25">
      <c r="A41" s="11" t="s">
        <v>76</v>
      </c>
      <c r="B41" s="23">
        <f>SUM(B35:B39)</f>
        <v>129000</v>
      </c>
    </row>
  </sheetData>
  <mergeCells count="16">
    <mergeCell ref="W1:AA1"/>
    <mergeCell ref="E4:E5"/>
    <mergeCell ref="E6:E7"/>
    <mergeCell ref="F5:F6"/>
    <mergeCell ref="E27:E28"/>
    <mergeCell ref="I25:I26"/>
    <mergeCell ref="Y21:Y22"/>
    <mergeCell ref="B1:H1"/>
    <mergeCell ref="I1:O1"/>
    <mergeCell ref="P1:V1"/>
    <mergeCell ref="L4:L5"/>
    <mergeCell ref="M5:M6"/>
    <mergeCell ref="L6:L7"/>
    <mergeCell ref="S4:S5"/>
    <mergeCell ref="T5:T6"/>
    <mergeCell ref="S6:S7"/>
  </mergeCells>
  <conditionalFormatting sqref="B41">
    <cfRule type="cellIs" dxfId="72" priority="9" operator="greaterThan">
      <formula>0</formula>
    </cfRule>
  </conditionalFormatting>
  <conditionalFormatting sqref="B35:C39">
    <cfRule type="expression" dxfId="71" priority="10">
      <formula>$C35="Si"</formula>
    </cfRule>
  </conditionalFormatting>
  <conditionalFormatting sqref="B4:M4 P4:T4 N4:O7 B5:D7 P5:R7 B8:T25 B26:H26 J26:O26 Q26:T26">
    <cfRule type="expression" dxfId="70" priority="11">
      <formula>B4&lt;&gt;""</formula>
    </cfRule>
  </conditionalFormatting>
  <conditionalFormatting sqref="B27:T30">
    <cfRule type="expression" dxfId="69" priority="6">
      <formula>B27&lt;&gt;""</formula>
    </cfRule>
  </conditionalFormatting>
  <conditionalFormatting sqref="E6:E7">
    <cfRule type="expression" dxfId="68" priority="8">
      <formula>E6&lt;&gt;""</formula>
    </cfRule>
  </conditionalFormatting>
  <conditionalFormatting sqref="F5:K7">
    <cfRule type="expression" dxfId="67" priority="7">
      <formula>F5&lt;&gt;""</formula>
    </cfRule>
  </conditionalFormatting>
  <conditionalFormatting sqref="L6:L7">
    <cfRule type="expression" dxfId="66" priority="5">
      <formula>L6&lt;&gt;""</formula>
    </cfRule>
  </conditionalFormatting>
  <conditionalFormatting sqref="M5:M7">
    <cfRule type="expression" dxfId="65" priority="4">
      <formula>M5&lt;&gt;""</formula>
    </cfRule>
  </conditionalFormatting>
  <conditionalFormatting sqref="S6:S7">
    <cfRule type="expression" dxfId="64" priority="3">
      <formula>S6&lt;&gt;""</formula>
    </cfRule>
  </conditionalFormatting>
  <conditionalFormatting sqref="T5:T7">
    <cfRule type="expression" dxfId="63" priority="2">
      <formula>T5&lt;&gt;""</formula>
    </cfRule>
  </conditionalFormatting>
  <conditionalFormatting sqref="U4:AA30">
    <cfRule type="expression" dxfId="62" priority="1">
      <formula>U4&lt;&gt;""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9F02462-2F9B-4527-A1B9-9A108B15D785}">
          <x14:formula1>
            <xm:f>'Datos - Axis'!$B$3:$B$21</xm:f>
          </x14:formula1>
          <xm:sqref>B27:B30 Y23:Y25 Y9:Y21 P27 P17:P25 S9:S22 Q9:Q28 T9:T26 T28:T30 Q30 R9:R18 R21:R30 P29:P30 P9:P15 S24:S30 N9:O30 Z24:Z26 T5:T6 W9:X26 W27:AA30 M5:M6 U9:V30 I27 I17:I25 AA9:AA26 Z9:Z22 L9:L22 J9:J28 E24:E27 G9:H30 E9:E22 C26 M9:M26 M28:M30 J30 K9:K18 K21:K30 I29:I30 C28:C30 F5:F6 C9:C24 I9:I15 E30 L24:L30 F10:F30 B9:B25 D9:D15 D17:D30</xm:sqref>
        </x14:dataValidation>
        <x14:dataValidation type="list" allowBlank="1" showInputMessage="1" showErrorMessage="1" xr:uid="{D6A7A7BA-89FC-4758-9DFA-DD94769EE29E}">
          <x14:formula1>
            <xm:f>'Datos - Axis'!$B$3:$B$19</xm:f>
          </x14:formula1>
          <xm:sqref>B4:C8 S4:T4 T7 S6 Q4:R8 S8 P4:P6 P8 Z8 Z5:Z6 U4:V8 L4:M4 M7 L6 X5:Y8 N4:O8 E4:F4 J4:K8 W5 W7:W8 L8 AA4:AA7 W4:Z4 D4:D6 F7:F8 E6 G4:H8 D8:E8 I4:I6 I8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5D51-0D86-4B30-803E-BEF79C855EE5}">
  <sheetPr codeName="Hoja9">
    <tabColor theme="7" tint="0.59999389629810485"/>
  </sheetPr>
  <dimension ref="A1:AA41"/>
  <sheetViews>
    <sheetView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R6" sqref="R6:R7"/>
    </sheetView>
  </sheetViews>
  <sheetFormatPr baseColWidth="10" defaultRowHeight="15" x14ac:dyDescent="0.25"/>
  <cols>
    <col min="1" max="1" width="15.5703125" bestFit="1" customWidth="1"/>
    <col min="2" max="2" width="13" customWidth="1"/>
    <col min="3" max="3" width="11.42578125" customWidth="1"/>
    <col min="4" max="4" width="13.7109375" customWidth="1"/>
    <col min="5" max="5" width="14.28515625" customWidth="1"/>
    <col min="6" max="6" width="12.28515625" customWidth="1"/>
    <col min="7" max="7" width="11.42578125" hidden="1" customWidth="1"/>
    <col min="8" max="8" width="8.7109375" hidden="1" customWidth="1"/>
    <col min="9" max="9" width="13.7109375" customWidth="1"/>
    <col min="10" max="13" width="11.42578125" customWidth="1"/>
    <col min="14" max="15" width="11.42578125" hidden="1" customWidth="1"/>
    <col min="16" max="20" width="11.42578125" customWidth="1"/>
    <col min="21" max="22" width="11.42578125" hidden="1" customWidth="1"/>
  </cols>
  <sheetData>
    <row r="1" spans="1:27" x14ac:dyDescent="0.25">
      <c r="B1" s="280" t="s">
        <v>35</v>
      </c>
      <c r="C1" s="281"/>
      <c r="D1" s="281"/>
      <c r="E1" s="281"/>
      <c r="F1" s="281"/>
      <c r="G1" s="281"/>
      <c r="H1" s="282"/>
      <c r="I1" s="280" t="s">
        <v>36</v>
      </c>
      <c r="J1" s="281"/>
      <c r="K1" s="281"/>
      <c r="L1" s="281"/>
      <c r="M1" s="281"/>
      <c r="N1" s="281"/>
      <c r="O1" s="282"/>
      <c r="P1" s="280" t="s">
        <v>37</v>
      </c>
      <c r="Q1" s="281"/>
      <c r="R1" s="281"/>
      <c r="S1" s="281"/>
      <c r="T1" s="281"/>
      <c r="U1" s="281"/>
      <c r="V1" s="282"/>
      <c r="W1" s="280" t="s">
        <v>38</v>
      </c>
      <c r="X1" s="281"/>
      <c r="Y1" s="281"/>
      <c r="Z1" s="281"/>
      <c r="AA1" s="282"/>
    </row>
    <row r="2" spans="1:27" x14ac:dyDescent="0.25">
      <c r="B2" s="4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5" t="s">
        <v>27</v>
      </c>
      <c r="I2" s="4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5" t="s">
        <v>27</v>
      </c>
      <c r="P2" s="4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5" t="s">
        <v>27</v>
      </c>
      <c r="W2" s="4" t="s">
        <v>21</v>
      </c>
      <c r="X2" s="1" t="s">
        <v>22</v>
      </c>
      <c r="Y2" s="1" t="s">
        <v>23</v>
      </c>
      <c r="Z2" s="1" t="s">
        <v>24</v>
      </c>
      <c r="AA2" s="5" t="s">
        <v>25</v>
      </c>
    </row>
    <row r="3" spans="1:27" ht="15.75" thickBot="1" x14ac:dyDescent="0.3">
      <c r="A3" s="7"/>
      <c r="B3" s="8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10">
        <v>7</v>
      </c>
      <c r="I3" s="8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10">
        <v>14</v>
      </c>
      <c r="P3" s="8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10">
        <v>21</v>
      </c>
      <c r="W3" s="8">
        <v>22</v>
      </c>
      <c r="X3" s="9">
        <v>23</v>
      </c>
      <c r="Y3" s="9">
        <v>24</v>
      </c>
      <c r="Z3" s="9">
        <v>25</v>
      </c>
      <c r="AA3" s="10">
        <v>26</v>
      </c>
    </row>
    <row r="4" spans="1:27" ht="15" customHeight="1" x14ac:dyDescent="0.25">
      <c r="A4" t="s">
        <v>40</v>
      </c>
      <c r="B4" s="37"/>
      <c r="C4" s="38"/>
      <c r="D4" s="38"/>
      <c r="E4" s="289" t="s">
        <v>33</v>
      </c>
      <c r="F4" s="38"/>
      <c r="G4" s="38"/>
      <c r="H4" s="40"/>
      <c r="I4" s="37"/>
      <c r="J4" s="38"/>
      <c r="K4" s="38"/>
      <c r="L4" s="289" t="s">
        <v>33</v>
      </c>
      <c r="M4" s="38"/>
      <c r="N4" s="38"/>
      <c r="O4" s="40"/>
      <c r="P4" s="37"/>
      <c r="Q4" s="38"/>
      <c r="R4" s="38"/>
      <c r="S4" s="289" t="s">
        <v>33</v>
      </c>
      <c r="T4" s="38"/>
      <c r="U4" s="38"/>
      <c r="V4" s="40"/>
      <c r="W4" s="37"/>
      <c r="X4" s="38"/>
      <c r="Y4" s="38"/>
      <c r="Z4" s="38"/>
      <c r="AA4" s="60"/>
    </row>
    <row r="5" spans="1:27" ht="15" customHeight="1" x14ac:dyDescent="0.25">
      <c r="A5" t="s">
        <v>41</v>
      </c>
      <c r="B5" s="37"/>
      <c r="C5" s="38"/>
      <c r="D5" s="38"/>
      <c r="E5" s="290"/>
      <c r="F5" s="293" t="s">
        <v>2</v>
      </c>
      <c r="G5" s="38"/>
      <c r="H5" s="40"/>
      <c r="I5" s="37"/>
      <c r="J5" s="38"/>
      <c r="K5" s="38"/>
      <c r="L5" s="290"/>
      <c r="M5" s="38"/>
      <c r="N5" s="38"/>
      <c r="O5" s="40"/>
      <c r="P5" s="37"/>
      <c r="Q5" s="38"/>
      <c r="R5" s="38"/>
      <c r="S5" s="290"/>
      <c r="T5" s="38"/>
      <c r="U5" s="38"/>
      <c r="V5" s="40"/>
      <c r="W5" s="37"/>
      <c r="X5" s="38"/>
      <c r="Y5" s="38"/>
      <c r="Z5" s="38"/>
      <c r="AA5" s="40"/>
    </row>
    <row r="6" spans="1:27" ht="15" customHeight="1" x14ac:dyDescent="0.25">
      <c r="A6" t="s">
        <v>42</v>
      </c>
      <c r="B6" s="37"/>
      <c r="C6" s="38"/>
      <c r="D6" s="293" t="s">
        <v>67</v>
      </c>
      <c r="E6" s="293" t="s">
        <v>9</v>
      </c>
      <c r="F6" s="290"/>
      <c r="G6" s="38"/>
      <c r="H6" s="38"/>
      <c r="I6" s="297" t="s">
        <v>67</v>
      </c>
      <c r="J6" s="38"/>
      <c r="K6" s="38"/>
      <c r="L6" s="38"/>
      <c r="M6" s="38"/>
      <c r="N6" s="38"/>
      <c r="O6" s="40"/>
      <c r="P6" s="37"/>
      <c r="Q6" s="38"/>
      <c r="R6" s="293" t="s">
        <v>67</v>
      </c>
      <c r="S6" s="38"/>
      <c r="T6" s="293" t="s">
        <v>103</v>
      </c>
      <c r="U6" s="38"/>
      <c r="V6" s="40"/>
      <c r="W6" s="37"/>
      <c r="X6" s="38"/>
      <c r="Y6" s="38"/>
      <c r="Z6" s="38"/>
      <c r="AA6" s="40"/>
    </row>
    <row r="7" spans="1:27" x14ac:dyDescent="0.25">
      <c r="A7" t="s">
        <v>43</v>
      </c>
      <c r="B7" s="37"/>
      <c r="C7" s="38"/>
      <c r="D7" s="290"/>
      <c r="E7" s="290"/>
      <c r="F7" s="38"/>
      <c r="G7" s="38"/>
      <c r="H7" s="38"/>
      <c r="I7" s="298"/>
      <c r="J7" s="38"/>
      <c r="K7" s="38"/>
      <c r="L7" s="38"/>
      <c r="M7" s="38"/>
      <c r="N7" s="38"/>
      <c r="O7" s="40"/>
      <c r="P7" s="37"/>
      <c r="Q7" s="38"/>
      <c r="R7" s="290"/>
      <c r="S7" s="38"/>
      <c r="T7" s="290"/>
      <c r="U7" s="38"/>
      <c r="V7" s="40"/>
      <c r="W7" s="37"/>
      <c r="X7" s="38"/>
      <c r="Y7" s="38"/>
      <c r="Z7" s="38"/>
      <c r="AA7" s="40"/>
    </row>
    <row r="8" spans="1:27" x14ac:dyDescent="0.25">
      <c r="A8" t="s">
        <v>65</v>
      </c>
      <c r="B8" s="37"/>
      <c r="C8" s="38"/>
      <c r="D8" s="38"/>
      <c r="E8" s="38"/>
      <c r="F8" s="38"/>
      <c r="G8" s="38"/>
      <c r="H8" s="40"/>
      <c r="I8" s="37"/>
      <c r="J8" s="38"/>
      <c r="K8" s="38"/>
      <c r="L8" s="38"/>
      <c r="M8" s="38"/>
      <c r="N8" s="38"/>
      <c r="O8" s="40"/>
      <c r="P8" s="37"/>
      <c r="Q8" s="38"/>
      <c r="R8" s="38"/>
      <c r="S8" s="38"/>
      <c r="T8" s="38"/>
      <c r="U8" s="38"/>
      <c r="V8" s="40"/>
      <c r="W8" s="37"/>
      <c r="X8" s="38"/>
      <c r="Y8" s="38"/>
      <c r="Z8" s="38"/>
      <c r="AA8" s="40"/>
    </row>
    <row r="9" spans="1:27" x14ac:dyDescent="0.25">
      <c r="A9" t="s">
        <v>66</v>
      </c>
      <c r="B9" s="37"/>
      <c r="C9" s="38"/>
      <c r="D9" s="38"/>
      <c r="E9" s="38"/>
      <c r="F9" s="38"/>
      <c r="G9" s="38"/>
      <c r="H9" s="40"/>
      <c r="I9" s="37"/>
      <c r="J9" s="38"/>
      <c r="K9" s="38"/>
      <c r="L9" s="38"/>
      <c r="M9" s="38"/>
      <c r="N9" s="38"/>
      <c r="O9" s="40"/>
      <c r="P9" s="37"/>
      <c r="Q9" s="38"/>
      <c r="R9" s="38"/>
      <c r="S9" s="38"/>
      <c r="T9" s="38"/>
      <c r="U9" s="38"/>
      <c r="V9" s="40"/>
      <c r="W9" s="37"/>
      <c r="X9" s="38"/>
      <c r="Y9" s="38"/>
      <c r="Z9" s="38"/>
      <c r="AA9" s="40"/>
    </row>
    <row r="10" spans="1:27" x14ac:dyDescent="0.25">
      <c r="A10" t="s">
        <v>44</v>
      </c>
      <c r="B10" s="37"/>
      <c r="C10" s="38"/>
      <c r="D10" s="38"/>
      <c r="E10" s="38"/>
      <c r="F10" s="38"/>
      <c r="G10" s="38"/>
      <c r="H10" s="40"/>
      <c r="I10" s="37"/>
      <c r="J10" s="38"/>
      <c r="K10" s="38"/>
      <c r="L10" s="38"/>
      <c r="M10" s="38"/>
      <c r="N10" s="38"/>
      <c r="O10" s="40"/>
      <c r="P10" s="37"/>
      <c r="Q10" s="38"/>
      <c r="R10" s="38"/>
      <c r="S10" s="38"/>
      <c r="T10" s="38"/>
      <c r="U10" s="38"/>
      <c r="V10" s="40"/>
      <c r="W10" s="37"/>
      <c r="X10" s="38"/>
      <c r="Y10" s="38"/>
      <c r="Z10" s="38"/>
      <c r="AA10" s="40"/>
    </row>
    <row r="11" spans="1:27" x14ac:dyDescent="0.25">
      <c r="A11" t="s">
        <v>45</v>
      </c>
      <c r="B11" s="37"/>
      <c r="C11" s="38"/>
      <c r="D11" s="38"/>
      <c r="E11" s="38"/>
      <c r="F11" s="38"/>
      <c r="G11" s="38"/>
      <c r="H11" s="40"/>
      <c r="I11" s="37"/>
      <c r="J11" s="38"/>
      <c r="K11" s="38"/>
      <c r="L11" s="38"/>
      <c r="M11" s="38"/>
      <c r="N11" s="38"/>
      <c r="O11" s="40"/>
      <c r="P11" s="37"/>
      <c r="Q11" s="38"/>
      <c r="R11" s="38"/>
      <c r="S11" s="38"/>
      <c r="T11" s="38"/>
      <c r="U11" s="38"/>
      <c r="V11" s="40"/>
      <c r="W11" s="37"/>
      <c r="X11" s="38"/>
      <c r="Y11" s="38"/>
      <c r="Z11" s="38"/>
      <c r="AA11" s="40"/>
    </row>
    <row r="12" spans="1:27" x14ac:dyDescent="0.25">
      <c r="A12" t="s">
        <v>46</v>
      </c>
      <c r="B12" s="37"/>
      <c r="C12" s="38"/>
      <c r="D12" s="38"/>
      <c r="E12" s="38"/>
      <c r="F12" s="38"/>
      <c r="G12" s="38"/>
      <c r="H12" s="40"/>
      <c r="I12" s="37"/>
      <c r="J12" s="38"/>
      <c r="K12" s="38"/>
      <c r="L12" s="38"/>
      <c r="M12" s="38"/>
      <c r="N12" s="38"/>
      <c r="O12" s="40"/>
      <c r="P12" s="37"/>
      <c r="Q12" s="38"/>
      <c r="R12" s="38"/>
      <c r="S12" s="38"/>
      <c r="T12" s="38"/>
      <c r="U12" s="38"/>
      <c r="V12" s="40"/>
      <c r="W12" s="37"/>
      <c r="X12" s="38"/>
      <c r="Y12" s="38"/>
      <c r="Z12" s="38"/>
      <c r="AA12" s="40"/>
    </row>
    <row r="13" spans="1:27" x14ac:dyDescent="0.25">
      <c r="A13" t="s">
        <v>47</v>
      </c>
      <c r="B13" s="37"/>
      <c r="C13" s="38"/>
      <c r="D13" s="38"/>
      <c r="E13" s="38"/>
      <c r="F13" s="38"/>
      <c r="G13" s="38"/>
      <c r="H13" s="40"/>
      <c r="I13" s="37"/>
      <c r="J13" s="38"/>
      <c r="K13" s="38"/>
      <c r="L13" s="38"/>
      <c r="M13" s="38"/>
      <c r="N13" s="38"/>
      <c r="O13" s="40"/>
      <c r="P13" s="37"/>
      <c r="Q13" s="38"/>
      <c r="R13" s="38"/>
      <c r="S13" s="38"/>
      <c r="T13" s="38"/>
      <c r="U13" s="38"/>
      <c r="V13" s="40"/>
      <c r="W13" s="37"/>
      <c r="X13" s="38"/>
      <c r="Y13" s="38"/>
      <c r="Z13" s="38"/>
      <c r="AA13" s="40"/>
    </row>
    <row r="14" spans="1:27" x14ac:dyDescent="0.25">
      <c r="A14" t="s">
        <v>48</v>
      </c>
      <c r="B14" s="37"/>
      <c r="C14" s="38"/>
      <c r="D14" s="38"/>
      <c r="E14" s="38"/>
      <c r="F14" s="38"/>
      <c r="G14" s="38"/>
      <c r="H14" s="40"/>
      <c r="I14" s="37"/>
      <c r="J14" s="38"/>
      <c r="K14" s="38"/>
      <c r="L14" s="38"/>
      <c r="M14" s="38"/>
      <c r="N14" s="38"/>
      <c r="O14" s="40"/>
      <c r="P14" s="37"/>
      <c r="Q14" s="38"/>
      <c r="R14" s="38"/>
      <c r="S14" s="38"/>
      <c r="T14" s="38"/>
      <c r="U14" s="38"/>
      <c r="V14" s="40"/>
      <c r="W14" s="37"/>
      <c r="X14" s="38"/>
      <c r="Y14" s="38"/>
      <c r="Z14" s="38"/>
      <c r="AA14" s="40"/>
    </row>
    <row r="15" spans="1:27" ht="15" customHeight="1" x14ac:dyDescent="0.25">
      <c r="A15" t="s">
        <v>49</v>
      </c>
      <c r="B15" s="37"/>
      <c r="C15" s="38"/>
      <c r="D15" s="293" t="s">
        <v>68</v>
      </c>
      <c r="E15" s="38"/>
      <c r="F15" s="40"/>
      <c r="G15" s="38"/>
      <c r="H15" s="38"/>
      <c r="I15" s="293" t="s">
        <v>68</v>
      </c>
      <c r="J15" s="38"/>
      <c r="K15" s="38"/>
      <c r="L15" s="38"/>
      <c r="M15" s="38"/>
      <c r="N15" s="38"/>
      <c r="O15" s="40"/>
      <c r="P15" s="37"/>
      <c r="Q15" s="38"/>
      <c r="R15" s="293" t="s">
        <v>68</v>
      </c>
      <c r="S15" s="38"/>
      <c r="T15" s="38"/>
      <c r="U15" s="38"/>
      <c r="V15" s="40"/>
      <c r="W15" s="37"/>
      <c r="X15" s="38"/>
      <c r="Y15" s="293" t="s">
        <v>68</v>
      </c>
      <c r="Z15" s="38"/>
      <c r="AA15" s="40"/>
    </row>
    <row r="16" spans="1:27" x14ac:dyDescent="0.25">
      <c r="A16" t="s">
        <v>50</v>
      </c>
      <c r="B16" s="37"/>
      <c r="C16" s="38"/>
      <c r="D16" s="290"/>
      <c r="E16" s="38"/>
      <c r="F16" s="40"/>
      <c r="G16" s="38"/>
      <c r="H16" s="38"/>
      <c r="I16" s="290"/>
      <c r="J16" s="38"/>
      <c r="K16" s="38"/>
      <c r="L16" s="38"/>
      <c r="M16" s="38"/>
      <c r="N16" s="38"/>
      <c r="O16" s="40"/>
      <c r="P16" s="37"/>
      <c r="Q16" s="38"/>
      <c r="R16" s="290"/>
      <c r="S16" s="38"/>
      <c r="T16" s="38"/>
      <c r="U16" s="38"/>
      <c r="V16" s="40"/>
      <c r="W16" s="37"/>
      <c r="X16" s="38"/>
      <c r="Y16" s="290"/>
      <c r="Z16" s="38"/>
      <c r="AA16" s="40"/>
    </row>
    <row r="17" spans="1:27" ht="15" customHeight="1" x14ac:dyDescent="0.25">
      <c r="A17" t="s">
        <v>51</v>
      </c>
      <c r="B17" s="37"/>
      <c r="C17" s="38"/>
      <c r="D17" s="38"/>
      <c r="E17" s="38"/>
      <c r="F17" s="38"/>
      <c r="G17" s="38"/>
      <c r="H17" s="40"/>
      <c r="I17" s="37"/>
      <c r="J17" s="38"/>
      <c r="K17" s="38"/>
      <c r="L17" s="38"/>
      <c r="M17" s="38"/>
      <c r="N17" s="38"/>
      <c r="O17" s="40"/>
      <c r="P17" s="37"/>
      <c r="Q17" s="38"/>
      <c r="R17" s="38"/>
      <c r="S17" s="38"/>
      <c r="T17" s="38"/>
      <c r="U17" s="38"/>
      <c r="V17" s="40"/>
      <c r="W17" s="37"/>
      <c r="X17" s="38"/>
      <c r="Y17" s="293" t="s">
        <v>103</v>
      </c>
      <c r="Z17" s="38"/>
      <c r="AA17" s="40"/>
    </row>
    <row r="18" spans="1:27" x14ac:dyDescent="0.25">
      <c r="A18" t="s">
        <v>52</v>
      </c>
      <c r="B18" s="37"/>
      <c r="C18" s="38"/>
      <c r="D18" s="38"/>
      <c r="E18" s="38"/>
      <c r="F18" s="38"/>
      <c r="G18" s="38"/>
      <c r="H18" s="40"/>
      <c r="I18" s="37"/>
      <c r="J18" s="38"/>
      <c r="K18" s="38"/>
      <c r="L18" s="38"/>
      <c r="M18" s="38"/>
      <c r="N18" s="38"/>
      <c r="O18" s="40"/>
      <c r="P18" s="37"/>
      <c r="Q18" s="38"/>
      <c r="R18" s="38"/>
      <c r="S18" s="38"/>
      <c r="T18" s="38"/>
      <c r="U18" s="38"/>
      <c r="V18" s="40"/>
      <c r="W18" s="37"/>
      <c r="X18" s="38"/>
      <c r="Y18" s="290"/>
      <c r="Z18" s="38"/>
      <c r="AA18" s="40"/>
    </row>
    <row r="19" spans="1:27" x14ac:dyDescent="0.25">
      <c r="A19" t="s">
        <v>53</v>
      </c>
      <c r="B19" s="37"/>
      <c r="C19" s="38"/>
      <c r="D19" s="38"/>
      <c r="E19" s="38"/>
      <c r="F19" s="38"/>
      <c r="G19" s="38"/>
      <c r="H19" s="40"/>
      <c r="I19" s="37"/>
      <c r="J19" s="38"/>
      <c r="K19" s="38"/>
      <c r="L19" s="38"/>
      <c r="M19" s="38"/>
      <c r="N19" s="38"/>
      <c r="O19" s="40"/>
      <c r="P19" s="37"/>
      <c r="Q19" s="38"/>
      <c r="R19" s="38"/>
      <c r="S19" s="38"/>
      <c r="T19" s="38"/>
      <c r="U19" s="38"/>
      <c r="V19" s="40"/>
      <c r="W19" s="37"/>
      <c r="X19" s="38"/>
      <c r="Y19" s="38"/>
      <c r="Z19" s="38"/>
      <c r="AA19" s="40"/>
    </row>
    <row r="20" spans="1:27" x14ac:dyDescent="0.25">
      <c r="A20" t="s">
        <v>54</v>
      </c>
      <c r="B20" s="37"/>
      <c r="C20" s="38"/>
      <c r="D20" s="38"/>
      <c r="E20" s="38"/>
      <c r="F20" s="38"/>
      <c r="G20" s="38"/>
      <c r="H20" s="40"/>
      <c r="I20" s="37"/>
      <c r="J20" s="38"/>
      <c r="K20" s="38"/>
      <c r="L20" s="38"/>
      <c r="M20" s="38"/>
      <c r="N20" s="38"/>
      <c r="O20" s="40"/>
      <c r="P20" s="37"/>
      <c r="Q20" s="38"/>
      <c r="R20" s="38"/>
      <c r="S20" s="38"/>
      <c r="T20" s="38"/>
      <c r="U20" s="38"/>
      <c r="V20" s="40"/>
      <c r="W20" s="37"/>
      <c r="X20" s="38"/>
      <c r="Y20" s="38"/>
      <c r="Z20" s="38"/>
      <c r="AA20" s="40"/>
    </row>
    <row r="21" spans="1:27" x14ac:dyDescent="0.25">
      <c r="A21" t="s">
        <v>55</v>
      </c>
      <c r="B21" s="37"/>
      <c r="C21" s="38"/>
      <c r="D21" s="38"/>
      <c r="E21" s="38"/>
      <c r="F21" s="38"/>
      <c r="G21" s="38"/>
      <c r="H21" s="40"/>
      <c r="I21" s="37"/>
      <c r="J21" s="38"/>
      <c r="K21" s="38"/>
      <c r="L21" s="38"/>
      <c r="M21" s="38"/>
      <c r="N21" s="38"/>
      <c r="O21" s="40"/>
      <c r="P21" s="37"/>
      <c r="Q21" s="38"/>
      <c r="R21" s="38"/>
      <c r="S21" s="38"/>
      <c r="T21" s="38"/>
      <c r="U21" s="38"/>
      <c r="V21" s="40"/>
      <c r="W21" s="37"/>
      <c r="X21" s="38"/>
      <c r="Y21" s="38"/>
      <c r="Z21" s="38"/>
      <c r="AA21" s="40"/>
    </row>
    <row r="22" spans="1:27" x14ac:dyDescent="0.25">
      <c r="A22" t="s">
        <v>56</v>
      </c>
      <c r="B22" s="37"/>
      <c r="C22" s="38"/>
      <c r="D22" s="38"/>
      <c r="E22" s="38"/>
      <c r="F22" s="38"/>
      <c r="G22" s="38"/>
      <c r="H22" s="40"/>
      <c r="I22" s="37"/>
      <c r="J22" s="38"/>
      <c r="K22" s="38"/>
      <c r="L22" s="38"/>
      <c r="M22" s="38"/>
      <c r="N22" s="38"/>
      <c r="O22" s="40"/>
      <c r="P22" s="37"/>
      <c r="Q22" s="38"/>
      <c r="R22" s="38"/>
      <c r="S22" s="38"/>
      <c r="T22" s="38"/>
      <c r="U22" s="38"/>
      <c r="V22" s="40"/>
      <c r="W22" s="37"/>
      <c r="X22" s="38"/>
      <c r="Y22" s="38"/>
      <c r="Z22" s="38"/>
      <c r="AA22" s="40"/>
    </row>
    <row r="23" spans="1:27" x14ac:dyDescent="0.25">
      <c r="A23" t="s">
        <v>57</v>
      </c>
      <c r="B23" s="37"/>
      <c r="C23" s="38"/>
      <c r="D23" s="38"/>
      <c r="E23" s="38"/>
      <c r="F23" s="38"/>
      <c r="G23" s="38"/>
      <c r="H23" s="40"/>
      <c r="I23" s="37"/>
      <c r="J23" s="38"/>
      <c r="K23" s="38"/>
      <c r="L23" s="38"/>
      <c r="M23" s="38"/>
      <c r="N23" s="38"/>
      <c r="O23" s="40"/>
      <c r="P23" s="37"/>
      <c r="Q23" s="295" t="s">
        <v>34</v>
      </c>
      <c r="R23" s="38"/>
      <c r="S23" s="38"/>
      <c r="T23" s="38"/>
      <c r="U23" s="38"/>
      <c r="V23" s="40"/>
      <c r="W23" s="37"/>
      <c r="X23" s="38"/>
      <c r="Y23" s="38"/>
      <c r="Z23" s="38"/>
      <c r="AA23" s="40"/>
    </row>
    <row r="24" spans="1:27" x14ac:dyDescent="0.25">
      <c r="A24" t="s">
        <v>58</v>
      </c>
      <c r="B24" s="37"/>
      <c r="C24" s="38"/>
      <c r="D24" s="38"/>
      <c r="E24" s="38"/>
      <c r="F24" s="38"/>
      <c r="G24" s="38"/>
      <c r="H24" s="40"/>
      <c r="I24" s="37"/>
      <c r="J24" s="38"/>
      <c r="K24" s="38"/>
      <c r="L24" s="38"/>
      <c r="M24" s="38"/>
      <c r="N24" s="38"/>
      <c r="O24" s="40"/>
      <c r="P24" s="37"/>
      <c r="Q24" s="296"/>
      <c r="R24" s="38"/>
      <c r="S24" s="38"/>
      <c r="T24" s="38"/>
      <c r="U24" s="38"/>
      <c r="V24" s="40"/>
      <c r="W24" s="37"/>
      <c r="X24" s="38"/>
      <c r="Y24" s="38"/>
      <c r="Z24" s="38"/>
      <c r="AA24" s="40"/>
    </row>
    <row r="25" spans="1:27" x14ac:dyDescent="0.25">
      <c r="A25" t="s">
        <v>59</v>
      </c>
      <c r="B25" s="291" t="s">
        <v>34</v>
      </c>
      <c r="C25" s="38"/>
      <c r="D25" s="38"/>
      <c r="E25" s="38"/>
      <c r="F25" s="38"/>
      <c r="G25" s="38"/>
      <c r="H25" s="40"/>
      <c r="I25" s="37"/>
      <c r="J25" s="38"/>
      <c r="K25" s="38"/>
      <c r="L25" s="38"/>
      <c r="M25" s="38"/>
      <c r="N25" s="38"/>
      <c r="O25" s="40"/>
      <c r="P25" s="37"/>
      <c r="Q25" s="38"/>
      <c r="R25" s="38"/>
      <c r="S25" s="38"/>
      <c r="T25" s="38"/>
      <c r="U25" s="38"/>
      <c r="V25" s="40"/>
      <c r="W25" s="293" t="s">
        <v>101</v>
      </c>
      <c r="X25" s="38"/>
      <c r="Y25" s="38"/>
      <c r="Z25" s="38"/>
      <c r="AA25" s="40"/>
    </row>
    <row r="26" spans="1:27" ht="15" customHeight="1" x14ac:dyDescent="0.25">
      <c r="A26" t="s">
        <v>60</v>
      </c>
      <c r="B26" s="292"/>
      <c r="C26" s="38"/>
      <c r="D26" s="38"/>
      <c r="E26" s="38"/>
      <c r="F26" s="38"/>
      <c r="G26" s="38"/>
      <c r="H26" s="40"/>
      <c r="I26" s="37"/>
      <c r="J26" s="38"/>
      <c r="K26" s="38"/>
      <c r="L26" s="38"/>
      <c r="M26" s="38"/>
      <c r="N26" s="38"/>
      <c r="O26" s="40"/>
      <c r="P26" s="37"/>
      <c r="Q26" s="295" t="s">
        <v>103</v>
      </c>
      <c r="R26" s="38"/>
      <c r="S26" s="294" t="s">
        <v>102</v>
      </c>
      <c r="T26" s="38"/>
      <c r="U26" s="38"/>
      <c r="V26" s="40"/>
      <c r="W26" s="290"/>
      <c r="X26" s="38"/>
      <c r="Y26" s="38"/>
      <c r="Z26" s="38"/>
      <c r="AA26" s="40"/>
    </row>
    <row r="27" spans="1:27" x14ac:dyDescent="0.25">
      <c r="A27" t="s">
        <v>61</v>
      </c>
      <c r="B27" s="37"/>
      <c r="C27" s="38"/>
      <c r="D27" s="38"/>
      <c r="E27" s="38"/>
      <c r="F27" s="38"/>
      <c r="G27" s="38"/>
      <c r="H27" s="40"/>
      <c r="I27" s="37"/>
      <c r="J27" s="293" t="s">
        <v>101</v>
      </c>
      <c r="K27" s="38"/>
      <c r="L27" s="294" t="s">
        <v>102</v>
      </c>
      <c r="M27" s="38"/>
      <c r="N27" s="38"/>
      <c r="O27" s="40"/>
      <c r="P27" s="37"/>
      <c r="Q27" s="296"/>
      <c r="R27" s="38"/>
      <c r="S27" s="290"/>
      <c r="T27" s="38"/>
      <c r="U27" s="38"/>
      <c r="V27" s="40"/>
      <c r="W27" s="37"/>
      <c r="X27" s="38"/>
      <c r="Y27" s="38"/>
      <c r="Z27" s="38"/>
      <c r="AA27" s="40"/>
    </row>
    <row r="28" spans="1:27" x14ac:dyDescent="0.25">
      <c r="A28" t="s">
        <v>62</v>
      </c>
      <c r="B28" s="37"/>
      <c r="C28" s="38"/>
      <c r="D28" s="38"/>
      <c r="E28" s="38"/>
      <c r="F28" s="38"/>
      <c r="G28" s="38"/>
      <c r="H28" s="40"/>
      <c r="I28" s="37"/>
      <c r="J28" s="290"/>
      <c r="K28" s="38"/>
      <c r="L28" s="290"/>
      <c r="M28" s="38"/>
      <c r="N28" s="38"/>
      <c r="O28" s="40"/>
      <c r="P28" s="37"/>
      <c r="Q28" s="38"/>
      <c r="R28" s="38"/>
      <c r="S28" s="38"/>
      <c r="T28" s="38"/>
      <c r="U28" s="38"/>
      <c r="V28" s="40"/>
      <c r="W28" s="37"/>
      <c r="X28" s="38"/>
      <c r="Y28" s="38"/>
      <c r="Z28" s="38"/>
      <c r="AA28" s="40"/>
    </row>
    <row r="29" spans="1:27" x14ac:dyDescent="0.25">
      <c r="A29" t="s">
        <v>63</v>
      </c>
      <c r="B29" s="37"/>
      <c r="C29" s="38"/>
      <c r="D29" s="38"/>
      <c r="E29" s="38"/>
      <c r="F29" s="38"/>
      <c r="G29" s="38"/>
      <c r="H29" s="40"/>
      <c r="I29" s="37"/>
      <c r="J29" s="38"/>
      <c r="K29" s="38"/>
      <c r="L29" s="38"/>
      <c r="M29" s="38"/>
      <c r="N29" s="38"/>
      <c r="O29" s="40"/>
      <c r="P29" s="37"/>
      <c r="Q29" s="38"/>
      <c r="R29" s="38"/>
      <c r="S29" s="38"/>
      <c r="T29" s="38"/>
      <c r="U29" s="38"/>
      <c r="V29" s="40"/>
      <c r="W29" s="37"/>
      <c r="X29" s="38"/>
      <c r="Y29" s="38"/>
      <c r="Z29" s="38"/>
      <c r="AA29" s="40"/>
    </row>
    <row r="30" spans="1:27" ht="15.75" thickBot="1" x14ac:dyDescent="0.3">
      <c r="A30" s="7" t="s">
        <v>64</v>
      </c>
      <c r="B30" s="42"/>
      <c r="C30" s="43"/>
      <c r="D30" s="43"/>
      <c r="E30" s="43"/>
      <c r="F30" s="43"/>
      <c r="G30" s="43"/>
      <c r="H30" s="44"/>
      <c r="I30" s="42"/>
      <c r="J30" s="43"/>
      <c r="K30" s="43"/>
      <c r="L30" s="43"/>
      <c r="M30" s="43"/>
      <c r="N30" s="43"/>
      <c r="O30" s="44"/>
      <c r="P30" s="42"/>
      <c r="Q30" s="43"/>
      <c r="R30" s="43"/>
      <c r="S30" s="43"/>
      <c r="T30" s="43"/>
      <c r="U30" s="43"/>
      <c r="V30" s="44"/>
      <c r="W30" s="42"/>
      <c r="X30" s="43"/>
      <c r="Y30" s="43"/>
      <c r="Z30" s="43"/>
      <c r="AA30" s="44"/>
    </row>
    <row r="34" spans="1:6" ht="15.75" thickBot="1" x14ac:dyDescent="0.3">
      <c r="A34" s="36" t="s">
        <v>74</v>
      </c>
      <c r="B34" s="16" t="s">
        <v>69</v>
      </c>
      <c r="C34" s="16" t="s">
        <v>75</v>
      </c>
    </row>
    <row r="35" spans="1:6" x14ac:dyDescent="0.25">
      <c r="A35">
        <v>1</v>
      </c>
      <c r="B35" s="3" cm="1">
        <f t="array" ref="B35">SUMPRODUCT(($B$4:$F$30&lt;&gt;"")*SUMIF('Datos - Axis'!$B$3:$B$21,$B$4:$F$30,'Datos - Axis'!$E$3:$E$21))</f>
        <v>75000</v>
      </c>
      <c r="C35" s="1" t="s">
        <v>31</v>
      </c>
      <c r="D35" s="14"/>
      <c r="E35" s="14"/>
      <c r="F35" s="14"/>
    </row>
    <row r="36" spans="1:6" x14ac:dyDescent="0.25">
      <c r="A36">
        <v>2</v>
      </c>
      <c r="B36" s="3" cm="1">
        <f t="array" ref="B36">SUMPRODUCT(($I$4:$M$30&lt;&gt;"")*SUMIF('Datos - Axis'!$B$3:$B$21,$I$4:$M$30,'Datos - Axis'!$E$3:$E$21))</f>
        <v>76500</v>
      </c>
      <c r="C36" s="1" t="s">
        <v>31</v>
      </c>
    </row>
    <row r="37" spans="1:6" x14ac:dyDescent="0.25">
      <c r="A37">
        <v>3</v>
      </c>
      <c r="B37" s="3" cm="1">
        <f t="array" ref="B37">SUMPRODUCT(($P$4:$T$30&lt;&gt;"")*SUMIF('Datos - Axis'!$B$3:$B$21,$P$4:$T$30,'Datos - Axis'!$E$3:$E$21))</f>
        <v>111000</v>
      </c>
      <c r="C37" s="1" t="s">
        <v>31</v>
      </c>
    </row>
    <row r="38" spans="1:6" x14ac:dyDescent="0.25">
      <c r="A38">
        <v>4</v>
      </c>
      <c r="B38" s="3" cm="1">
        <f t="array" ref="B38">SUMPRODUCT(($W$4:$AA$30&lt;&gt;"")*SUMIF('Datos - Axis'!$B$3:$B$21,$W$4:$AA$30,'Datos - Axis'!$E$3:$E$21))</f>
        <v>54000</v>
      </c>
      <c r="C38" s="1" t="s">
        <v>31</v>
      </c>
    </row>
    <row r="39" spans="1:6" x14ac:dyDescent="0.25">
      <c r="A39" s="61" t="s">
        <v>104</v>
      </c>
      <c r="B39" s="3">
        <v>150000</v>
      </c>
      <c r="C39" s="1" t="s">
        <v>31</v>
      </c>
    </row>
    <row r="41" spans="1:6" x14ac:dyDescent="0.25">
      <c r="A41" s="11" t="s">
        <v>76</v>
      </c>
      <c r="B41" s="23">
        <f>SUM(B35:B39)</f>
        <v>466500</v>
      </c>
    </row>
  </sheetData>
  <mergeCells count="25">
    <mergeCell ref="B25:B26"/>
    <mergeCell ref="B1:H1"/>
    <mergeCell ref="I1:O1"/>
    <mergeCell ref="L4:L5"/>
    <mergeCell ref="D6:D7"/>
    <mergeCell ref="E6:E7"/>
    <mergeCell ref="I6:I7"/>
    <mergeCell ref="D15:D16"/>
    <mergeCell ref="I15:I16"/>
    <mergeCell ref="J27:J28"/>
    <mergeCell ref="P1:V1"/>
    <mergeCell ref="W1:AA1"/>
    <mergeCell ref="E4:E5"/>
    <mergeCell ref="F5:F6"/>
    <mergeCell ref="L27:L28"/>
    <mergeCell ref="Q23:Q24"/>
    <mergeCell ref="Q26:Q27"/>
    <mergeCell ref="R6:R7"/>
    <mergeCell ref="R15:R16"/>
    <mergeCell ref="S4:S5"/>
    <mergeCell ref="S26:S27"/>
    <mergeCell ref="T6:T7"/>
    <mergeCell ref="W25:W26"/>
    <mergeCell ref="Y15:Y16"/>
    <mergeCell ref="Y17:Y18"/>
  </mergeCells>
  <conditionalFormatting sqref="B41">
    <cfRule type="cellIs" dxfId="61" priority="2" operator="greaterThan">
      <formula>0</formula>
    </cfRule>
  </conditionalFormatting>
  <conditionalFormatting sqref="B35:C39">
    <cfRule type="expression" dxfId="60" priority="3">
      <formula>$C35="Si"</formula>
    </cfRule>
  </conditionalFormatting>
  <conditionalFormatting sqref="B4:S4 T4:AA5 F5:K5 M5:R5 B5:D6 E6 G6:T6 U6:AA7 B7:C7 F7:H7 J7:Q7 S7 B8:AA14 D15:Y15 B15:C16 Z15:AA18 E16:H16 J16:Q16 S16:X16 Y17 B17:X18 B19:AA23 B24:P24 R24:AA24 B25:W25 X25:AA26 C26:V26 J27:P27 R27 T27:AA27 B27:I28 K28 M28:AA28 B29:AA30">
    <cfRule type="expression" dxfId="59" priority="1">
      <formula>B4&lt;&gt;""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6F2A65-4CBB-4D95-8F12-7FE014A380B9}">
          <x14:formula1>
            <xm:f>'Datos - Axis'!$B$3:$B$31</xm:f>
          </x14:formula1>
          <xm:sqref>I8 Y19:Y30 Y17 Y9:Y15 Z9:AA30 X9:X30 W9:W25 W27:W30 T9:V30 T4:T6 U4:AA8 T8 S4 S28:S30 S6:S26 Q9:Q26 Q28:Q30 B4:C30 D9:P30 R8:R15 R4:R6 R17:R30 M4:Q8 L6:L8 L4 J4:K8 D4:D6 E4 E6 F7:F8 F4:F5 G4:H8 D8:E8 I4:I6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FF2F-81A7-42B5-8AC1-0F2E686A4049}">
  <sheetPr codeName="Hoja10">
    <tabColor theme="7" tint="0.59999389629810485"/>
  </sheetPr>
  <dimension ref="A1:AH4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37" sqref="J37"/>
    </sheetView>
  </sheetViews>
  <sheetFormatPr baseColWidth="10" defaultRowHeight="15" x14ac:dyDescent="0.25"/>
  <cols>
    <col min="1" max="1" width="15.5703125" bestFit="1" customWidth="1"/>
    <col min="2" max="2" width="12" customWidth="1"/>
    <col min="3" max="3" width="11.42578125" customWidth="1"/>
    <col min="4" max="4" width="13.7109375" customWidth="1"/>
    <col min="5" max="5" width="14.28515625" customWidth="1"/>
    <col min="6" max="6" width="17.140625" customWidth="1"/>
    <col min="7" max="7" width="7.28515625" hidden="1" customWidth="1"/>
    <col min="8" max="8" width="8.85546875" hidden="1" customWidth="1"/>
    <col min="9" max="9" width="13.7109375" customWidth="1"/>
    <col min="10" max="13" width="11.42578125" customWidth="1"/>
    <col min="14" max="15" width="11.42578125" hidden="1" customWidth="1"/>
    <col min="21" max="22" width="11.42578125" hidden="1" customWidth="1"/>
    <col min="28" max="29" width="11.42578125" hidden="1" customWidth="1"/>
  </cols>
  <sheetData>
    <row r="1" spans="1:34" x14ac:dyDescent="0.25">
      <c r="B1" s="280" t="s">
        <v>35</v>
      </c>
      <c r="C1" s="281"/>
      <c r="D1" s="281"/>
      <c r="E1" s="281"/>
      <c r="F1" s="281"/>
      <c r="G1" s="281"/>
      <c r="H1" s="282"/>
      <c r="I1" s="280" t="s">
        <v>36</v>
      </c>
      <c r="J1" s="281"/>
      <c r="K1" s="281"/>
      <c r="L1" s="281"/>
      <c r="M1" s="281"/>
      <c r="N1" s="281"/>
      <c r="O1" s="282"/>
      <c r="P1" s="280" t="s">
        <v>37</v>
      </c>
      <c r="Q1" s="281"/>
      <c r="R1" s="281"/>
      <c r="S1" s="281"/>
      <c r="T1" s="281"/>
      <c r="U1" s="281"/>
      <c r="V1" s="282"/>
      <c r="W1" s="280" t="s">
        <v>38</v>
      </c>
      <c r="X1" s="281"/>
      <c r="Y1" s="281"/>
      <c r="Z1" s="281"/>
      <c r="AA1" s="281"/>
      <c r="AB1" s="281"/>
      <c r="AC1" s="282"/>
      <c r="AD1" s="280" t="s">
        <v>39</v>
      </c>
      <c r="AE1" s="281"/>
      <c r="AF1" s="281"/>
      <c r="AG1" s="281"/>
      <c r="AH1" s="282"/>
    </row>
    <row r="2" spans="1:34" x14ac:dyDescent="0.25">
      <c r="B2" s="4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5" t="s">
        <v>27</v>
      </c>
      <c r="I2" s="4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5" t="s">
        <v>27</v>
      </c>
      <c r="P2" s="4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5" t="s">
        <v>27</v>
      </c>
      <c r="W2" s="4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5" t="s">
        <v>27</v>
      </c>
      <c r="AD2" s="4" t="s">
        <v>21</v>
      </c>
      <c r="AE2" s="1" t="s">
        <v>22</v>
      </c>
      <c r="AF2" s="1" t="s">
        <v>23</v>
      </c>
      <c r="AG2" s="1" t="s">
        <v>24</v>
      </c>
      <c r="AH2" s="5" t="s">
        <v>25</v>
      </c>
    </row>
    <row r="3" spans="1:34" ht="15.75" thickBot="1" x14ac:dyDescent="0.3">
      <c r="A3" s="7"/>
      <c r="B3" s="8">
        <v>29</v>
      </c>
      <c r="C3" s="9">
        <v>30</v>
      </c>
      <c r="D3" s="9">
        <v>1</v>
      </c>
      <c r="E3" s="9">
        <v>2</v>
      </c>
      <c r="F3" s="10">
        <v>3</v>
      </c>
      <c r="G3" s="9">
        <v>4</v>
      </c>
      <c r="H3" s="10">
        <v>5</v>
      </c>
      <c r="I3" s="9">
        <v>6</v>
      </c>
      <c r="J3" s="9">
        <v>7</v>
      </c>
      <c r="K3" s="9">
        <v>8</v>
      </c>
      <c r="L3" s="9">
        <v>9</v>
      </c>
      <c r="M3" s="10">
        <v>10</v>
      </c>
      <c r="N3" s="9">
        <v>11</v>
      </c>
      <c r="O3" s="10">
        <v>12</v>
      </c>
      <c r="P3" s="9">
        <v>13</v>
      </c>
      <c r="Q3" s="9">
        <v>14</v>
      </c>
      <c r="R3" s="9">
        <v>15</v>
      </c>
      <c r="S3" s="9">
        <v>16</v>
      </c>
      <c r="T3" s="10">
        <v>17</v>
      </c>
      <c r="U3" s="9">
        <v>18</v>
      </c>
      <c r="V3" s="10">
        <v>19</v>
      </c>
      <c r="W3" s="9">
        <v>20</v>
      </c>
      <c r="X3" s="9">
        <v>21</v>
      </c>
      <c r="Y3" s="9">
        <v>22</v>
      </c>
      <c r="Z3" s="9">
        <v>23</v>
      </c>
      <c r="AA3" s="9">
        <v>24</v>
      </c>
      <c r="AB3" s="9">
        <v>25</v>
      </c>
      <c r="AC3" s="10">
        <v>26</v>
      </c>
      <c r="AD3" s="8">
        <v>27</v>
      </c>
      <c r="AE3" s="9">
        <v>28</v>
      </c>
      <c r="AF3" s="9">
        <v>29</v>
      </c>
      <c r="AG3" s="9">
        <v>30</v>
      </c>
      <c r="AH3" s="5">
        <v>31</v>
      </c>
    </row>
    <row r="4" spans="1:34" x14ac:dyDescent="0.25">
      <c r="A4" t="s">
        <v>40</v>
      </c>
      <c r="B4" s="37"/>
      <c r="C4" s="38"/>
      <c r="D4" s="38"/>
      <c r="E4" s="39"/>
      <c r="F4" s="38"/>
      <c r="G4" s="38"/>
      <c r="H4" s="40"/>
      <c r="I4" s="37"/>
      <c r="J4" s="38"/>
      <c r="K4" s="38"/>
      <c r="L4" s="38"/>
      <c r="M4" s="38"/>
      <c r="N4" s="38"/>
      <c r="O4" s="40"/>
      <c r="P4" s="37"/>
      <c r="Q4" s="305" t="s">
        <v>205</v>
      </c>
      <c r="R4" s="38"/>
      <c r="S4" s="38"/>
      <c r="T4" s="38"/>
      <c r="U4" s="38"/>
      <c r="V4" s="40"/>
      <c r="W4" s="37"/>
      <c r="X4" s="38"/>
      <c r="Y4" s="38"/>
      <c r="Z4" s="38"/>
      <c r="AA4" s="38"/>
      <c r="AB4" s="38"/>
      <c r="AC4" s="40"/>
      <c r="AD4" s="37"/>
      <c r="AE4" s="38"/>
      <c r="AF4" s="38"/>
      <c r="AG4" s="38"/>
      <c r="AH4" s="303" t="s">
        <v>103</v>
      </c>
    </row>
    <row r="5" spans="1:34" x14ac:dyDescent="0.25">
      <c r="A5" t="s">
        <v>41</v>
      </c>
      <c r="B5" s="37"/>
      <c r="C5" s="38"/>
      <c r="D5" s="38"/>
      <c r="E5" s="39"/>
      <c r="F5" s="39"/>
      <c r="G5" s="38"/>
      <c r="H5" s="40"/>
      <c r="I5" s="37"/>
      <c r="J5" s="38"/>
      <c r="K5" s="38"/>
      <c r="L5" s="38"/>
      <c r="M5" s="38"/>
      <c r="N5" s="38"/>
      <c r="O5" s="40"/>
      <c r="P5" s="37"/>
      <c r="Q5" s="296"/>
      <c r="R5" s="38"/>
      <c r="S5" s="38"/>
      <c r="T5" s="38"/>
      <c r="U5" s="38"/>
      <c r="V5" s="40"/>
      <c r="W5" s="37"/>
      <c r="X5" s="38"/>
      <c r="Y5" s="38"/>
      <c r="Z5" s="38"/>
      <c r="AA5" s="38"/>
      <c r="AB5" s="38"/>
      <c r="AC5" s="40"/>
      <c r="AD5" s="37"/>
      <c r="AE5" s="38"/>
      <c r="AF5" s="38"/>
      <c r="AG5" s="38"/>
      <c r="AH5" s="304"/>
    </row>
    <row r="6" spans="1:34" ht="15" customHeight="1" x14ac:dyDescent="0.25">
      <c r="A6" t="s">
        <v>42</v>
      </c>
      <c r="B6" s="299" t="s">
        <v>103</v>
      </c>
      <c r="C6" s="38"/>
      <c r="D6" s="39"/>
      <c r="E6" s="39"/>
      <c r="F6" s="39"/>
      <c r="G6" s="38"/>
      <c r="H6" s="40"/>
      <c r="I6" s="41"/>
      <c r="J6" s="293" t="s">
        <v>103</v>
      </c>
      <c r="K6" s="38"/>
      <c r="L6" s="38"/>
      <c r="M6" s="38"/>
      <c r="N6" s="38"/>
      <c r="O6" s="38"/>
      <c r="P6" s="301" t="s">
        <v>103</v>
      </c>
      <c r="Q6" s="38"/>
      <c r="R6" s="38"/>
      <c r="S6" s="38"/>
      <c r="T6" s="38"/>
      <c r="U6" s="38"/>
      <c r="V6" s="40"/>
      <c r="W6" s="37"/>
      <c r="X6" s="38"/>
      <c r="Y6" s="38"/>
      <c r="Z6" s="38"/>
      <c r="AA6" s="38"/>
      <c r="AB6" s="38"/>
      <c r="AC6" s="40"/>
      <c r="AD6" s="37"/>
      <c r="AE6" s="38"/>
      <c r="AF6" s="38"/>
      <c r="AG6" s="38"/>
      <c r="AH6" s="40"/>
    </row>
    <row r="7" spans="1:34" x14ac:dyDescent="0.25">
      <c r="A7" t="s">
        <v>43</v>
      </c>
      <c r="B7" s="300"/>
      <c r="C7" s="38"/>
      <c r="D7" s="39"/>
      <c r="E7" s="39"/>
      <c r="F7" s="38"/>
      <c r="G7" s="38"/>
      <c r="H7" s="40"/>
      <c r="I7" s="41"/>
      <c r="J7" s="290"/>
      <c r="K7" s="38"/>
      <c r="L7" s="38"/>
      <c r="M7" s="38"/>
      <c r="N7" s="38"/>
      <c r="O7" s="38"/>
      <c r="P7" s="302"/>
      <c r="Q7" s="38"/>
      <c r="R7" s="38"/>
      <c r="S7" s="38"/>
      <c r="T7" s="38"/>
      <c r="U7" s="38"/>
      <c r="V7" s="40"/>
      <c r="W7" s="37"/>
      <c r="X7" s="38"/>
      <c r="Y7" s="38"/>
      <c r="Z7" s="38"/>
      <c r="AA7" s="38"/>
      <c r="AB7" s="38"/>
      <c r="AC7" s="40"/>
      <c r="AD7" s="37"/>
      <c r="AE7" s="38"/>
      <c r="AF7" s="38"/>
      <c r="AG7" s="38"/>
      <c r="AH7" s="40"/>
    </row>
    <row r="8" spans="1:34" x14ac:dyDescent="0.25">
      <c r="A8" t="s">
        <v>65</v>
      </c>
      <c r="B8" s="37"/>
      <c r="C8" s="38"/>
      <c r="D8" s="38"/>
      <c r="E8" s="38"/>
      <c r="F8" s="38"/>
      <c r="G8" s="38"/>
      <c r="H8" s="40"/>
      <c r="I8" s="37"/>
      <c r="J8" s="38"/>
      <c r="K8" s="38"/>
      <c r="L8" s="38"/>
      <c r="M8" s="38"/>
      <c r="N8" s="38"/>
      <c r="O8" s="40"/>
      <c r="P8" s="37"/>
      <c r="Q8" s="38"/>
      <c r="R8" s="38"/>
      <c r="S8" s="38"/>
      <c r="T8" s="38"/>
      <c r="U8" s="38"/>
      <c r="V8" s="40"/>
      <c r="W8" s="37"/>
      <c r="X8" s="38"/>
      <c r="Y8" s="38"/>
      <c r="Z8" s="38"/>
      <c r="AA8" s="38"/>
      <c r="AB8" s="38"/>
      <c r="AC8" s="40"/>
      <c r="AD8" s="37"/>
      <c r="AE8" s="38"/>
      <c r="AF8" s="38"/>
      <c r="AG8" s="38"/>
      <c r="AH8" s="40"/>
    </row>
    <row r="9" spans="1:34" x14ac:dyDescent="0.25">
      <c r="A9" t="s">
        <v>66</v>
      </c>
      <c r="B9" s="37"/>
      <c r="C9" s="38"/>
      <c r="D9" s="38"/>
      <c r="E9" s="38"/>
      <c r="F9" s="38"/>
      <c r="G9" s="38"/>
      <c r="H9" s="40"/>
      <c r="I9" s="37"/>
      <c r="J9" s="38"/>
      <c r="K9" s="38"/>
      <c r="L9" s="38"/>
      <c r="M9" s="38"/>
      <c r="N9" s="38"/>
      <c r="O9" s="40"/>
      <c r="P9" s="37"/>
      <c r="Q9" s="38"/>
      <c r="R9" s="38"/>
      <c r="S9" s="38"/>
      <c r="T9" s="38"/>
      <c r="U9" s="38"/>
      <c r="V9" s="40"/>
      <c r="W9" s="37"/>
      <c r="X9" s="38"/>
      <c r="Y9" s="38"/>
      <c r="Z9" s="38"/>
      <c r="AA9" s="38"/>
      <c r="AB9" s="38"/>
      <c r="AC9" s="40"/>
      <c r="AD9" s="37"/>
      <c r="AE9" s="38"/>
      <c r="AF9" s="38"/>
      <c r="AG9" s="38"/>
      <c r="AH9" s="40"/>
    </row>
    <row r="10" spans="1:34" x14ac:dyDescent="0.25">
      <c r="A10" t="s">
        <v>44</v>
      </c>
      <c r="B10" s="37"/>
      <c r="C10" s="38"/>
      <c r="D10" s="38"/>
      <c r="E10" s="38"/>
      <c r="F10" s="38"/>
      <c r="G10" s="38"/>
      <c r="H10" s="40"/>
      <c r="I10" s="37"/>
      <c r="J10" s="38"/>
      <c r="K10" s="38"/>
      <c r="L10" s="38"/>
      <c r="M10" s="38"/>
      <c r="N10" s="38"/>
      <c r="O10" s="40"/>
      <c r="P10" s="37"/>
      <c r="Q10" s="38"/>
      <c r="R10" s="38"/>
      <c r="S10" s="38"/>
      <c r="T10" s="38"/>
      <c r="U10" s="38"/>
      <c r="V10" s="40"/>
      <c r="W10" s="37"/>
      <c r="X10" s="38"/>
      <c r="Y10" s="38"/>
      <c r="Z10" s="38"/>
      <c r="AA10" s="38"/>
      <c r="AB10" s="38"/>
      <c r="AC10" s="40"/>
      <c r="AD10" s="37"/>
      <c r="AE10" s="38"/>
      <c r="AF10" s="38"/>
      <c r="AG10" s="38"/>
      <c r="AH10" s="40"/>
    </row>
    <row r="11" spans="1:34" x14ac:dyDescent="0.25">
      <c r="A11" t="s">
        <v>45</v>
      </c>
      <c r="B11" s="37"/>
      <c r="C11" s="38"/>
      <c r="D11" s="38"/>
      <c r="E11" s="38"/>
      <c r="F11" s="38"/>
      <c r="G11" s="38"/>
      <c r="H11" s="40"/>
      <c r="I11" s="37"/>
      <c r="J11" s="38"/>
      <c r="K11" s="38"/>
      <c r="L11" s="38"/>
      <c r="M11" s="38"/>
      <c r="N11" s="38"/>
      <c r="O11" s="40"/>
      <c r="P11" s="37"/>
      <c r="Q11" s="38"/>
      <c r="R11" s="38"/>
      <c r="S11" s="38"/>
      <c r="T11" s="38"/>
      <c r="U11" s="38"/>
      <c r="V11" s="40"/>
      <c r="W11" s="37"/>
      <c r="X11" s="38"/>
      <c r="Y11" s="38"/>
      <c r="Z11" s="38"/>
      <c r="AA11" s="38"/>
      <c r="AB11" s="38"/>
      <c r="AC11" s="40"/>
      <c r="AD11" s="37"/>
      <c r="AE11" s="38"/>
      <c r="AF11" s="38"/>
      <c r="AG11" s="38"/>
      <c r="AH11" s="40"/>
    </row>
    <row r="12" spans="1:34" x14ac:dyDescent="0.25">
      <c r="A12" t="s">
        <v>46</v>
      </c>
      <c r="B12" s="37"/>
      <c r="C12" s="38"/>
      <c r="D12" s="38"/>
      <c r="E12" s="38"/>
      <c r="F12" s="38"/>
      <c r="G12" s="38"/>
      <c r="H12" s="40"/>
      <c r="I12" s="37"/>
      <c r="J12" s="38"/>
      <c r="K12" s="38"/>
      <c r="L12" s="38"/>
      <c r="M12" s="38"/>
      <c r="N12" s="38"/>
      <c r="O12" s="40"/>
      <c r="P12" s="37"/>
      <c r="Q12" s="38"/>
      <c r="R12" s="38"/>
      <c r="S12" s="38"/>
      <c r="T12" s="38"/>
      <c r="U12" s="38"/>
      <c r="V12" s="40"/>
      <c r="W12" s="37"/>
      <c r="X12" s="38"/>
      <c r="Y12" s="38"/>
      <c r="Z12" s="38"/>
      <c r="AA12" s="38"/>
      <c r="AB12" s="38"/>
      <c r="AC12" s="40"/>
      <c r="AD12" s="37"/>
      <c r="AE12" s="38"/>
      <c r="AF12" s="38"/>
      <c r="AG12" s="38"/>
      <c r="AH12" s="40"/>
    </row>
    <row r="13" spans="1:34" x14ac:dyDescent="0.25">
      <c r="A13" t="s">
        <v>47</v>
      </c>
      <c r="B13" s="37"/>
      <c r="C13" s="38"/>
      <c r="D13" s="38"/>
      <c r="E13" s="38"/>
      <c r="F13" s="38"/>
      <c r="G13" s="38"/>
      <c r="H13" s="40"/>
      <c r="I13" s="37"/>
      <c r="J13" s="38"/>
      <c r="K13" s="38"/>
      <c r="L13" s="38"/>
      <c r="M13" s="38"/>
      <c r="N13" s="38"/>
      <c r="O13" s="40"/>
      <c r="P13" s="37"/>
      <c r="Q13" s="38"/>
      <c r="R13" s="38"/>
      <c r="S13" s="38"/>
      <c r="T13" s="38"/>
      <c r="U13" s="38"/>
      <c r="V13" s="40"/>
      <c r="W13" s="37"/>
      <c r="X13" s="38"/>
      <c r="Y13" s="38"/>
      <c r="Z13" s="38"/>
      <c r="AA13" s="38"/>
      <c r="AB13" s="38"/>
      <c r="AC13" s="40"/>
      <c r="AD13" s="37"/>
      <c r="AE13" s="38"/>
      <c r="AF13" s="38"/>
      <c r="AG13" s="38"/>
      <c r="AH13" s="40"/>
    </row>
    <row r="14" spans="1:34" x14ac:dyDescent="0.25">
      <c r="A14" t="s">
        <v>48</v>
      </c>
      <c r="B14" s="37"/>
      <c r="C14" s="38"/>
      <c r="D14" s="38"/>
      <c r="E14" s="38"/>
      <c r="F14" s="38"/>
      <c r="G14" s="38"/>
      <c r="H14" s="40"/>
      <c r="I14" s="37"/>
      <c r="J14" s="38"/>
      <c r="K14" s="38"/>
      <c r="L14" s="38"/>
      <c r="M14" s="38"/>
      <c r="N14" s="38"/>
      <c r="O14" s="40"/>
      <c r="P14" s="37"/>
      <c r="Q14" s="38"/>
      <c r="R14" s="38"/>
      <c r="S14" s="38"/>
      <c r="T14" s="38"/>
      <c r="U14" s="38"/>
      <c r="V14" s="40"/>
      <c r="W14" s="37"/>
      <c r="X14" s="38"/>
      <c r="Y14" s="38"/>
      <c r="Z14" s="38"/>
      <c r="AA14" s="38"/>
      <c r="AB14" s="38"/>
      <c r="AC14" s="40"/>
      <c r="AD14" s="37"/>
      <c r="AE14" s="38"/>
      <c r="AF14" s="38"/>
      <c r="AG14" s="38"/>
      <c r="AH14" s="40"/>
    </row>
    <row r="15" spans="1:34" ht="15" customHeight="1" x14ac:dyDescent="0.25">
      <c r="A15" t="s">
        <v>49</v>
      </c>
      <c r="B15" s="299" t="s">
        <v>68</v>
      </c>
      <c r="C15" s="38"/>
      <c r="D15" s="39"/>
      <c r="E15" s="38"/>
      <c r="F15" s="40"/>
      <c r="G15" s="38"/>
      <c r="H15" s="38"/>
      <c r="I15" s="39"/>
      <c r="J15" s="38"/>
      <c r="K15" s="38"/>
      <c r="L15" s="38"/>
      <c r="M15" s="38"/>
      <c r="N15" s="38"/>
      <c r="O15" s="40"/>
      <c r="P15" s="291" t="s">
        <v>68</v>
      </c>
      <c r="Q15" s="38"/>
      <c r="R15" s="38"/>
      <c r="S15" s="38"/>
      <c r="T15" s="38"/>
      <c r="U15" s="38"/>
      <c r="V15" s="40"/>
      <c r="W15" s="299" t="s">
        <v>68</v>
      </c>
      <c r="X15" s="38"/>
      <c r="Y15" s="38"/>
      <c r="Z15" s="38"/>
      <c r="AA15" s="38"/>
      <c r="AB15" s="38"/>
      <c r="AC15" s="40"/>
      <c r="AD15" s="37"/>
      <c r="AE15" s="38"/>
      <c r="AF15" s="38"/>
      <c r="AG15" s="38"/>
      <c r="AH15" s="40"/>
    </row>
    <row r="16" spans="1:34" x14ac:dyDescent="0.25">
      <c r="A16" t="s">
        <v>50</v>
      </c>
      <c r="B16" s="300"/>
      <c r="C16" s="38"/>
      <c r="D16" s="39"/>
      <c r="E16" s="38"/>
      <c r="F16" s="40"/>
      <c r="G16" s="38"/>
      <c r="H16" s="38"/>
      <c r="I16" s="39"/>
      <c r="J16" s="38"/>
      <c r="K16" s="38"/>
      <c r="L16" s="38"/>
      <c r="M16" s="38"/>
      <c r="N16" s="38"/>
      <c r="O16" s="40"/>
      <c r="P16" s="292"/>
      <c r="Q16" s="38"/>
      <c r="R16" s="38"/>
      <c r="S16" s="38"/>
      <c r="T16" s="38"/>
      <c r="U16" s="38"/>
      <c r="V16" s="40"/>
      <c r="W16" s="300"/>
      <c r="X16" s="38"/>
      <c r="Y16" s="38"/>
      <c r="Z16" s="38"/>
      <c r="AA16" s="38"/>
      <c r="AB16" s="38"/>
      <c r="AC16" s="40"/>
      <c r="AD16" s="37"/>
      <c r="AE16" s="38"/>
      <c r="AF16" s="38"/>
      <c r="AG16" s="38"/>
      <c r="AH16" s="40"/>
    </row>
    <row r="17" spans="1:34" x14ac:dyDescent="0.25">
      <c r="A17" t="s">
        <v>51</v>
      </c>
      <c r="B17" s="37"/>
      <c r="C17" s="38"/>
      <c r="D17" s="38"/>
      <c r="E17" s="38"/>
      <c r="F17" s="38"/>
      <c r="G17" s="38"/>
      <c r="H17" s="40"/>
      <c r="I17" s="37"/>
      <c r="J17" s="38"/>
      <c r="K17" s="38"/>
      <c r="L17" s="38"/>
      <c r="M17" s="38"/>
      <c r="N17" s="38"/>
      <c r="O17" s="40"/>
      <c r="P17" s="37"/>
      <c r="Q17" s="38"/>
      <c r="R17" s="38"/>
      <c r="S17" s="38"/>
      <c r="T17" s="38"/>
      <c r="U17" s="38"/>
      <c r="V17" s="40"/>
      <c r="W17" s="37"/>
      <c r="X17" s="38"/>
      <c r="Y17" s="38"/>
      <c r="Z17" s="38"/>
      <c r="AA17" s="38"/>
      <c r="AB17" s="38"/>
      <c r="AC17" s="40"/>
      <c r="AD17" s="37"/>
      <c r="AE17" s="38"/>
      <c r="AF17" s="38"/>
      <c r="AG17" s="38"/>
      <c r="AH17" s="40"/>
    </row>
    <row r="18" spans="1:34" x14ac:dyDescent="0.25">
      <c r="A18" t="s">
        <v>52</v>
      </c>
      <c r="B18" s="37"/>
      <c r="C18" s="38"/>
      <c r="D18" s="38"/>
      <c r="E18" s="38"/>
      <c r="F18" s="38"/>
      <c r="G18" s="38"/>
      <c r="H18" s="40"/>
      <c r="I18" s="37"/>
      <c r="J18" s="38"/>
      <c r="K18" s="38"/>
      <c r="L18" s="38"/>
      <c r="M18" s="38"/>
      <c r="N18" s="38"/>
      <c r="O18" s="40"/>
      <c r="P18" s="37"/>
      <c r="Q18" s="38"/>
      <c r="R18" s="38"/>
      <c r="S18" s="38"/>
      <c r="T18" s="38"/>
      <c r="U18" s="38"/>
      <c r="V18" s="40"/>
      <c r="W18" s="37"/>
      <c r="X18" s="38"/>
      <c r="Y18" s="38"/>
      <c r="Z18" s="38"/>
      <c r="AA18" s="38"/>
      <c r="AB18" s="38"/>
      <c r="AC18" s="40"/>
      <c r="AD18" s="37"/>
      <c r="AE18" s="38"/>
      <c r="AF18" s="38"/>
      <c r="AG18" s="38"/>
      <c r="AH18" s="40"/>
    </row>
    <row r="19" spans="1:34" x14ac:dyDescent="0.25">
      <c r="A19" t="s">
        <v>53</v>
      </c>
      <c r="B19" s="37"/>
      <c r="C19" s="38"/>
      <c r="D19" s="38"/>
      <c r="E19" s="38"/>
      <c r="F19" s="38"/>
      <c r="G19" s="38"/>
      <c r="H19" s="40"/>
      <c r="I19" s="37"/>
      <c r="J19" s="38"/>
      <c r="K19" s="38"/>
      <c r="L19" s="38"/>
      <c r="M19" s="38"/>
      <c r="N19" s="38"/>
      <c r="O19" s="40"/>
      <c r="P19" s="37"/>
      <c r="Q19" s="38"/>
      <c r="R19" s="38"/>
      <c r="S19" s="38"/>
      <c r="T19" s="38"/>
      <c r="U19" s="38"/>
      <c r="V19" s="40"/>
      <c r="W19" s="37"/>
      <c r="X19" s="38"/>
      <c r="Y19" s="38"/>
      <c r="Z19" s="38"/>
      <c r="AA19" s="38"/>
      <c r="AB19" s="38"/>
      <c r="AC19" s="40"/>
      <c r="AD19" s="37"/>
      <c r="AE19" s="38"/>
      <c r="AF19" s="38"/>
      <c r="AG19" s="38"/>
      <c r="AH19" s="40"/>
    </row>
    <row r="20" spans="1:34" x14ac:dyDescent="0.25">
      <c r="A20" t="s">
        <v>54</v>
      </c>
      <c r="B20" s="37"/>
      <c r="C20" s="38"/>
      <c r="D20" s="38"/>
      <c r="E20" s="38"/>
      <c r="F20" s="38"/>
      <c r="G20" s="38"/>
      <c r="H20" s="40"/>
      <c r="I20" s="37"/>
      <c r="J20" s="38"/>
      <c r="K20" s="38"/>
      <c r="L20" s="38"/>
      <c r="M20" s="38"/>
      <c r="N20" s="38"/>
      <c r="O20" s="40"/>
      <c r="P20" s="37"/>
      <c r="Q20" s="38"/>
      <c r="R20" s="38"/>
      <c r="S20" s="38"/>
      <c r="T20" s="38"/>
      <c r="U20" s="38"/>
      <c r="V20" s="40"/>
      <c r="W20" s="37"/>
      <c r="X20" s="38"/>
      <c r="Y20" s="38"/>
      <c r="Z20" s="38"/>
      <c r="AA20" s="38"/>
      <c r="AB20" s="38"/>
      <c r="AC20" s="40"/>
      <c r="AD20" s="37"/>
      <c r="AE20" s="38"/>
      <c r="AF20" s="38"/>
      <c r="AG20" s="38"/>
      <c r="AH20" s="40"/>
    </row>
    <row r="21" spans="1:34" x14ac:dyDescent="0.25">
      <c r="A21" t="s">
        <v>55</v>
      </c>
      <c r="B21" s="37"/>
      <c r="C21" s="38"/>
      <c r="D21" s="38"/>
      <c r="E21" s="38"/>
      <c r="F21" s="38"/>
      <c r="G21" s="38"/>
      <c r="H21" s="40"/>
      <c r="I21" s="37"/>
      <c r="J21" s="38"/>
      <c r="K21" s="38"/>
      <c r="L21" s="38"/>
      <c r="M21" s="38"/>
      <c r="N21" s="38"/>
      <c r="O21" s="40"/>
      <c r="P21" s="37"/>
      <c r="Q21" s="38"/>
      <c r="R21" s="38"/>
      <c r="S21" s="38"/>
      <c r="T21" s="38"/>
      <c r="U21" s="38"/>
      <c r="V21" s="40"/>
      <c r="W21" s="37"/>
      <c r="X21" s="38"/>
      <c r="Y21" s="38"/>
      <c r="Z21" s="38"/>
      <c r="AA21" s="38"/>
      <c r="AB21" s="38"/>
      <c r="AC21" s="40"/>
      <c r="AD21" s="37"/>
      <c r="AE21" s="38"/>
      <c r="AF21" s="38"/>
      <c r="AG21" s="38"/>
      <c r="AH21" s="40"/>
    </row>
    <row r="22" spans="1:34" x14ac:dyDescent="0.25">
      <c r="A22" t="s">
        <v>56</v>
      </c>
      <c r="B22" s="37"/>
      <c r="C22" s="38"/>
      <c r="D22" s="38"/>
      <c r="E22" s="38"/>
      <c r="F22" s="38"/>
      <c r="G22" s="38"/>
      <c r="H22" s="40"/>
      <c r="I22" s="37"/>
      <c r="J22" s="38"/>
      <c r="K22" s="38"/>
      <c r="L22" s="38"/>
      <c r="M22" s="38"/>
      <c r="N22" s="38"/>
      <c r="O22" s="40"/>
      <c r="P22" s="37"/>
      <c r="Q22" s="38"/>
      <c r="R22" s="38"/>
      <c r="S22" s="38"/>
      <c r="T22" s="38"/>
      <c r="U22" s="38"/>
      <c r="V22" s="40"/>
      <c r="W22" s="37"/>
      <c r="X22" s="38"/>
      <c r="Y22" s="38"/>
      <c r="Z22" s="38"/>
      <c r="AA22" s="38"/>
      <c r="AB22" s="38"/>
      <c r="AC22" s="40"/>
      <c r="AD22" s="37"/>
      <c r="AE22" s="38"/>
      <c r="AF22" s="38"/>
      <c r="AG22" s="38"/>
      <c r="AH22" s="40"/>
    </row>
    <row r="23" spans="1:34" x14ac:dyDescent="0.25">
      <c r="A23" t="s">
        <v>57</v>
      </c>
      <c r="B23" s="37"/>
      <c r="C23" s="38"/>
      <c r="D23" s="38"/>
      <c r="E23" s="38"/>
      <c r="F23" s="38"/>
      <c r="G23" s="38"/>
      <c r="H23" s="40"/>
      <c r="I23" s="37"/>
      <c r="J23" s="38"/>
      <c r="K23" s="38"/>
      <c r="L23" s="38"/>
      <c r="M23" s="38"/>
      <c r="N23" s="38"/>
      <c r="O23" s="40"/>
      <c r="P23" s="37"/>
      <c r="Q23" s="38"/>
      <c r="R23" s="38"/>
      <c r="S23" s="38"/>
      <c r="T23" s="38"/>
      <c r="U23" s="38"/>
      <c r="V23" s="40"/>
      <c r="W23" s="37"/>
      <c r="X23" s="38"/>
      <c r="Y23" s="38"/>
      <c r="Z23" s="38"/>
      <c r="AA23" s="38"/>
      <c r="AB23" s="38"/>
      <c r="AC23" s="40"/>
      <c r="AD23" s="37"/>
      <c r="AE23" s="38"/>
      <c r="AF23" s="38"/>
      <c r="AG23" s="38"/>
      <c r="AH23" s="40"/>
    </row>
    <row r="24" spans="1:34" x14ac:dyDescent="0.25">
      <c r="A24" t="s">
        <v>58</v>
      </c>
      <c r="B24" s="37"/>
      <c r="C24" s="38"/>
      <c r="D24" s="38"/>
      <c r="E24" s="38"/>
      <c r="F24" s="38"/>
      <c r="G24" s="38"/>
      <c r="H24" s="40"/>
      <c r="I24" s="37"/>
      <c r="J24" s="38"/>
      <c r="K24" s="38"/>
      <c r="L24" s="38"/>
      <c r="M24" s="38"/>
      <c r="N24" s="38"/>
      <c r="O24" s="40"/>
      <c r="P24" s="37"/>
      <c r="Q24" s="38"/>
      <c r="R24" s="38"/>
      <c r="S24" s="38"/>
      <c r="T24" s="38"/>
      <c r="U24" s="38"/>
      <c r="V24" s="40"/>
      <c r="W24" s="37"/>
      <c r="X24" s="38"/>
      <c r="Y24" s="38"/>
      <c r="Z24" s="38"/>
      <c r="AA24" s="38"/>
      <c r="AB24" s="38"/>
      <c r="AC24" s="40"/>
      <c r="AD24" s="37"/>
      <c r="AE24" s="38"/>
      <c r="AF24" s="38"/>
      <c r="AG24" s="293" t="s">
        <v>200</v>
      </c>
      <c r="AH24" s="40"/>
    </row>
    <row r="25" spans="1:34" x14ac:dyDescent="0.25">
      <c r="A25" t="s">
        <v>59</v>
      </c>
      <c r="B25" s="41"/>
      <c r="C25" s="38"/>
      <c r="D25" s="38"/>
      <c r="E25" s="38"/>
      <c r="F25" s="38"/>
      <c r="G25" s="38"/>
      <c r="H25" s="40"/>
      <c r="I25" s="291" t="s">
        <v>101</v>
      </c>
      <c r="J25" s="38"/>
      <c r="K25" s="38"/>
      <c r="L25" s="38"/>
      <c r="M25" s="38"/>
      <c r="N25" s="38"/>
      <c r="O25" s="40"/>
      <c r="P25" s="37"/>
      <c r="Q25" s="293" t="s">
        <v>200</v>
      </c>
      <c r="R25" s="38"/>
      <c r="S25" s="38"/>
      <c r="T25" s="38"/>
      <c r="U25" s="38"/>
      <c r="V25" s="40"/>
      <c r="W25" s="37"/>
      <c r="X25" s="38"/>
      <c r="Y25" s="38"/>
      <c r="Z25" s="293" t="s">
        <v>200</v>
      </c>
      <c r="AA25" s="38"/>
      <c r="AB25" s="38"/>
      <c r="AC25" s="40"/>
      <c r="AD25" s="37"/>
      <c r="AE25" s="38"/>
      <c r="AF25" s="38"/>
      <c r="AG25" s="290"/>
      <c r="AH25" s="40"/>
    </row>
    <row r="26" spans="1:34" ht="15" customHeight="1" x14ac:dyDescent="0.25">
      <c r="A26" t="s">
        <v>60</v>
      </c>
      <c r="B26" s="41"/>
      <c r="C26" s="293" t="s">
        <v>34</v>
      </c>
      <c r="D26" s="38"/>
      <c r="E26" s="293" t="s">
        <v>102</v>
      </c>
      <c r="F26" s="38"/>
      <c r="G26" s="38"/>
      <c r="H26" s="40"/>
      <c r="I26" s="292"/>
      <c r="J26" s="293" t="s">
        <v>200</v>
      </c>
      <c r="K26" s="38"/>
      <c r="L26" s="38"/>
      <c r="M26" s="38"/>
      <c r="N26" s="38"/>
      <c r="O26" s="40"/>
      <c r="P26" s="291" t="s">
        <v>34</v>
      </c>
      <c r="Q26" s="290"/>
      <c r="R26" s="38"/>
      <c r="S26" s="293" t="s">
        <v>102</v>
      </c>
      <c r="T26" s="38"/>
      <c r="U26" s="38"/>
      <c r="V26" s="40"/>
      <c r="W26" s="37"/>
      <c r="X26" s="38"/>
      <c r="Y26" s="38"/>
      <c r="Z26" s="290"/>
      <c r="AA26" s="38"/>
      <c r="AB26" s="38"/>
      <c r="AC26" s="40"/>
      <c r="AD26" s="291" t="s">
        <v>34</v>
      </c>
      <c r="AE26" s="38"/>
      <c r="AF26" s="38"/>
      <c r="AG26" s="293" t="s">
        <v>102</v>
      </c>
      <c r="AH26" s="40"/>
    </row>
    <row r="27" spans="1:34" ht="15" customHeight="1" x14ac:dyDescent="0.25">
      <c r="A27" t="s">
        <v>61</v>
      </c>
      <c r="B27" s="37"/>
      <c r="C27" s="290"/>
      <c r="D27" s="38"/>
      <c r="E27" s="290"/>
      <c r="F27" s="38"/>
      <c r="G27" s="38"/>
      <c r="H27" s="40"/>
      <c r="I27" s="37"/>
      <c r="J27" s="290"/>
      <c r="K27" s="38"/>
      <c r="L27" s="38"/>
      <c r="M27" s="38"/>
      <c r="N27" s="38"/>
      <c r="O27" s="40"/>
      <c r="P27" s="292"/>
      <c r="Q27" s="38"/>
      <c r="R27" s="38"/>
      <c r="S27" s="290"/>
      <c r="T27" s="38"/>
      <c r="U27" s="38"/>
      <c r="V27" s="40"/>
      <c r="W27" s="291" t="s">
        <v>101</v>
      </c>
      <c r="X27" s="38"/>
      <c r="Y27" s="38"/>
      <c r="Z27" s="293" t="s">
        <v>33</v>
      </c>
      <c r="AA27" s="38"/>
      <c r="AB27" s="38"/>
      <c r="AC27" s="40"/>
      <c r="AD27" s="292"/>
      <c r="AE27" s="38"/>
      <c r="AF27" s="38"/>
      <c r="AG27" s="290"/>
      <c r="AH27" s="40"/>
    </row>
    <row r="28" spans="1:34" ht="15" customHeight="1" x14ac:dyDescent="0.25">
      <c r="A28" t="s">
        <v>62</v>
      </c>
      <c r="B28" s="37"/>
      <c r="C28" s="38"/>
      <c r="D28" s="38"/>
      <c r="E28" s="38"/>
      <c r="F28" s="38"/>
      <c r="G28" s="38"/>
      <c r="H28" s="40"/>
      <c r="I28" s="37"/>
      <c r="J28" s="38"/>
      <c r="K28" s="38"/>
      <c r="L28" s="293" t="s">
        <v>33</v>
      </c>
      <c r="M28" s="38"/>
      <c r="N28" s="38"/>
      <c r="O28" s="40"/>
      <c r="P28" s="37"/>
      <c r="Q28" s="38"/>
      <c r="R28" s="38"/>
      <c r="S28" s="38"/>
      <c r="T28" s="38"/>
      <c r="U28" s="38"/>
      <c r="V28" s="40"/>
      <c r="W28" s="292"/>
      <c r="X28" s="38"/>
      <c r="Y28" s="38"/>
      <c r="Z28" s="290"/>
      <c r="AA28" s="38"/>
      <c r="AB28" s="38"/>
      <c r="AC28" s="40"/>
      <c r="AD28" s="37"/>
      <c r="AE28" s="38"/>
      <c r="AF28" s="38"/>
      <c r="AG28" s="38"/>
      <c r="AH28" s="40"/>
    </row>
    <row r="29" spans="1:34" x14ac:dyDescent="0.25">
      <c r="A29" t="s">
        <v>63</v>
      </c>
      <c r="B29" s="37"/>
      <c r="C29" s="38"/>
      <c r="D29" s="38"/>
      <c r="E29" s="38"/>
      <c r="F29" s="38"/>
      <c r="G29" s="38"/>
      <c r="H29" s="40"/>
      <c r="I29" s="37"/>
      <c r="J29" s="38"/>
      <c r="K29" s="38"/>
      <c r="L29" s="290"/>
      <c r="M29" s="38"/>
      <c r="N29" s="38"/>
      <c r="O29" s="40"/>
      <c r="P29" s="37"/>
      <c r="Q29" s="38"/>
      <c r="R29" s="38"/>
      <c r="S29" s="38"/>
      <c r="T29" s="38"/>
      <c r="U29" s="38"/>
      <c r="V29" s="40"/>
      <c r="W29" s="37"/>
      <c r="X29" s="38"/>
      <c r="Y29" s="38"/>
      <c r="Z29" s="38"/>
      <c r="AA29" s="38"/>
      <c r="AB29" s="38"/>
      <c r="AC29" s="40"/>
      <c r="AD29" s="37"/>
      <c r="AE29" s="38"/>
      <c r="AF29" s="38"/>
      <c r="AG29" s="38"/>
      <c r="AH29" s="40"/>
    </row>
    <row r="30" spans="1:34" ht="15.75" thickBot="1" x14ac:dyDescent="0.3">
      <c r="A30" s="7" t="s">
        <v>64</v>
      </c>
      <c r="B30" s="42"/>
      <c r="C30" s="43"/>
      <c r="D30" s="43"/>
      <c r="E30" s="43"/>
      <c r="F30" s="43"/>
      <c r="G30" s="43"/>
      <c r="H30" s="44"/>
      <c r="I30" s="42"/>
      <c r="J30" s="43"/>
      <c r="K30" s="43"/>
      <c r="L30" s="43"/>
      <c r="M30" s="43"/>
      <c r="N30" s="43"/>
      <c r="O30" s="44"/>
      <c r="P30" s="42"/>
      <c r="Q30" s="43"/>
      <c r="R30" s="43"/>
      <c r="S30" s="43"/>
      <c r="T30" s="43"/>
      <c r="U30" s="43"/>
      <c r="V30" s="44"/>
      <c r="W30" s="42"/>
      <c r="X30" s="43"/>
      <c r="Y30" s="43"/>
      <c r="Z30" s="43"/>
      <c r="AA30" s="43"/>
      <c r="AB30" s="43"/>
      <c r="AC30" s="44"/>
      <c r="AD30" s="42"/>
      <c r="AE30" s="43"/>
      <c r="AF30" s="43"/>
      <c r="AG30" s="43"/>
      <c r="AH30" s="44"/>
    </row>
    <row r="34" spans="1:6" ht="15.75" thickBot="1" x14ac:dyDescent="0.3">
      <c r="A34" s="36" t="s">
        <v>74</v>
      </c>
      <c r="B34" s="16" t="s">
        <v>69</v>
      </c>
      <c r="C34" s="16" t="s">
        <v>75</v>
      </c>
    </row>
    <row r="35" spans="1:6" x14ac:dyDescent="0.25">
      <c r="A35">
        <v>1</v>
      </c>
      <c r="B35" s="3" cm="1">
        <f t="array" ref="B35">SUMPRODUCT(($B$4:$F$30&lt;&gt;"")*SUMIF('Datos - Axis'!$B$3:$B$21,$B$4:$F$30,'Datos - Axis'!$E$3:$E$21))</f>
        <v>65500</v>
      </c>
      <c r="C35" s="1" t="s">
        <v>31</v>
      </c>
      <c r="D35" s="14"/>
      <c r="E35" s="14"/>
      <c r="F35" s="14"/>
    </row>
    <row r="36" spans="1:6" x14ac:dyDescent="0.25">
      <c r="A36">
        <v>2</v>
      </c>
      <c r="B36" s="3" cm="1">
        <f t="array" ref="B36">SUMPRODUCT(($I$4:$M$30&lt;&gt;"")*SUMIF('Datos - Axis'!$B$3:$B$21,$I$4:$M$30,'Datos - Axis'!$E$3:$E$21))</f>
        <v>67500</v>
      </c>
      <c r="C36" s="1" t="s">
        <v>31</v>
      </c>
    </row>
    <row r="37" spans="1:6" x14ac:dyDescent="0.25">
      <c r="A37">
        <v>3</v>
      </c>
      <c r="B37" s="3" cm="1">
        <f t="array" ref="B37">SUMPRODUCT(($P$4:$T$30&lt;&gt;"")*SUMIF('Datos - Axis'!$B$3:$B$21,$P$4:$T$30,'Datos - Axis'!$E$3:$E$21))</f>
        <v>106500</v>
      </c>
      <c r="C37" s="1" t="s">
        <v>31</v>
      </c>
    </row>
    <row r="38" spans="1:6" x14ac:dyDescent="0.25">
      <c r="A38">
        <v>4</v>
      </c>
      <c r="B38" s="3" cm="1">
        <f t="array" ref="B38">SUMPRODUCT(($W$4:$AA$30&lt;&gt;"")*SUMIF('Datos - Axis'!$B$3:$B$21,$W$4:$AA$30,'Datos - Axis'!$E$3:$E$21))</f>
        <v>64500</v>
      </c>
      <c r="C38" s="1" t="s">
        <v>31</v>
      </c>
    </row>
    <row r="39" spans="1:6" x14ac:dyDescent="0.25">
      <c r="A39">
        <v>5</v>
      </c>
      <c r="B39" s="3" cm="1">
        <f t="array" ref="B39">SUMPRODUCT(($AD$4:$AH$30&lt;&gt;"")*SUMIF('Datos - Axis'!$B$3:$B$21,$AD$4:$AH$30,'Datos - Axis'!$E$3:$E$21))</f>
        <v>68500</v>
      </c>
      <c r="C39" s="1" t="s">
        <v>31</v>
      </c>
    </row>
    <row r="41" spans="1:6" x14ac:dyDescent="0.25">
      <c r="A41" s="11" t="s">
        <v>76</v>
      </c>
      <c r="B41" s="23">
        <f>SUM(B35:B39)</f>
        <v>372500</v>
      </c>
    </row>
  </sheetData>
  <mergeCells count="27">
    <mergeCell ref="AH4:AH5"/>
    <mergeCell ref="AD26:AD27"/>
    <mergeCell ref="L28:L29"/>
    <mergeCell ref="Z25:Z26"/>
    <mergeCell ref="Z27:Z28"/>
    <mergeCell ref="Q4:Q5"/>
    <mergeCell ref="E26:E27"/>
    <mergeCell ref="I25:I26"/>
    <mergeCell ref="C26:C27"/>
    <mergeCell ref="B6:B7"/>
    <mergeCell ref="AG24:AG25"/>
    <mergeCell ref="AG26:AG27"/>
    <mergeCell ref="J6:J7"/>
    <mergeCell ref="J26:J27"/>
    <mergeCell ref="S26:S27"/>
    <mergeCell ref="Q25:Q26"/>
    <mergeCell ref="P6:P7"/>
    <mergeCell ref="P15:P16"/>
    <mergeCell ref="P26:P27"/>
    <mergeCell ref="W15:W16"/>
    <mergeCell ref="W27:W28"/>
    <mergeCell ref="B15:B16"/>
    <mergeCell ref="AD1:AH1"/>
    <mergeCell ref="B1:H1"/>
    <mergeCell ref="I1:O1"/>
    <mergeCell ref="P1:V1"/>
    <mergeCell ref="W1:AC1"/>
  </mergeCells>
  <phoneticPr fontId="1" type="noConversion"/>
  <conditionalFormatting sqref="B41">
    <cfRule type="cellIs" dxfId="58" priority="15" operator="greaterThan">
      <formula>0</formula>
    </cfRule>
  </conditionalFormatting>
  <conditionalFormatting sqref="B35:C39">
    <cfRule type="expression" dxfId="57" priority="14">
      <formula>$C35="Si"</formula>
    </cfRule>
  </conditionalFormatting>
  <conditionalFormatting sqref="B15:P15">
    <cfRule type="expression" dxfId="56" priority="8">
      <formula>B15&lt;&gt;""</formula>
    </cfRule>
  </conditionalFormatting>
  <conditionalFormatting sqref="B4:AH4 B5:P5 R5:AG5 B6:AH6">
    <cfRule type="expression" dxfId="55" priority="11">
      <formula>B4&lt;&gt;""</formula>
    </cfRule>
  </conditionalFormatting>
  <conditionalFormatting sqref="B17:AH23 AG24 B24:AF25 AH24:AH27">
    <cfRule type="expression" dxfId="54" priority="3">
      <formula>B17&lt;&gt;""</formula>
    </cfRule>
  </conditionalFormatting>
  <conditionalFormatting sqref="C26">
    <cfRule type="expression" dxfId="53" priority="13">
      <formula>C26&lt;&gt;""</formula>
    </cfRule>
  </conditionalFormatting>
  <conditionalFormatting sqref="C7:I7 K7:O7 Q7:AH7 B8:AH14 Q15:V16 X15:AH16 C16:O16 P26 B26:B27 D26:D27 K26:O27 F27:I27 Q27:R27 X27:Y28 B28:K29 M29:AH29 B30:AH30">
    <cfRule type="expression" dxfId="52" priority="18">
      <formula>B7&lt;&gt;""</formula>
    </cfRule>
  </conditionalFormatting>
  <conditionalFormatting sqref="E26:H26">
    <cfRule type="expression" dxfId="51" priority="12">
      <formula>E26&lt;&gt;""</formula>
    </cfRule>
  </conditionalFormatting>
  <conditionalFormatting sqref="J26">
    <cfRule type="expression" dxfId="50" priority="10">
      <formula>J26&lt;&gt;""</formula>
    </cfRule>
  </conditionalFormatting>
  <conditionalFormatting sqref="L28:V28">
    <cfRule type="expression" dxfId="49" priority="9">
      <formula>L28&lt;&gt;""</formula>
    </cfRule>
  </conditionalFormatting>
  <conditionalFormatting sqref="R26:Y26 AG26 AA26:AC27 AE26:AF27 AA28:AH28">
    <cfRule type="expression" dxfId="48" priority="6">
      <formula>R26&lt;&gt;""</formula>
    </cfRule>
  </conditionalFormatting>
  <conditionalFormatting sqref="T27:W27">
    <cfRule type="expression" dxfId="47" priority="4">
      <formula>T27&lt;&gt;""</formula>
    </cfRule>
  </conditionalFormatting>
  <conditionalFormatting sqref="W15">
    <cfRule type="expression" dxfId="46" priority="5">
      <formula>W15&lt;&gt;""</formula>
    </cfRule>
  </conditionalFormatting>
  <conditionalFormatting sqref="Z27">
    <cfRule type="expression" dxfId="45" priority="2">
      <formula>Z27&lt;&gt;""</formula>
    </cfRule>
  </conditionalFormatting>
  <conditionalFormatting sqref="AD26">
    <cfRule type="expression" dxfId="44" priority="1">
      <formula>AD26&lt;&gt;""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BFFDC2-523A-42FA-84B2-0E13F67273D7}">
          <x14:formula1>
            <xm:f>'Datos - Axis'!$B$3:$B$19</xm:f>
          </x14:formula1>
          <xm:sqref>D8:E8 AH4 AG26 AG24 AD28:AD30 AD9:AD26 AE9:AE30 AA9:AC30 Z27 Z9:Z25 Z29:Z30 X9:Y30 W9:W27 W29:W30 T9:V30 S9:S26 S28:S30 R9:R30 Q6:Q25 Q27:Q30 Q4 R4:AE8 P17:P26 P8:P15 M9:O30 P4:P6 P28:P30 K4:O8 L9:L28 J9:K30 I17:I30 E9:H30 C4:C30 B8:B25 I8:I15 D9:D15 D17:D30 B27:B30 J8 I4:J6 L30 B4:B6 D4:D6 E4 E6 F7:F8 F4:F5 G4:H8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E632-D3C7-42A0-AEB3-1B7387916808}">
  <sheetPr codeName="Hoja11">
    <tabColor theme="7" tint="0.59999389629810485"/>
  </sheetPr>
  <dimension ref="A1:AD41"/>
  <sheetViews>
    <sheetView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T23" sqref="T23:T24"/>
    </sheetView>
  </sheetViews>
  <sheetFormatPr baseColWidth="10" defaultRowHeight="15" x14ac:dyDescent="0.25"/>
  <cols>
    <col min="1" max="1" width="15.5703125" bestFit="1" customWidth="1"/>
    <col min="2" max="2" width="10.42578125" customWidth="1"/>
    <col min="3" max="3" width="11.28515625" customWidth="1"/>
    <col min="4" max="4" width="9.7109375" customWidth="1"/>
    <col min="5" max="5" width="6.85546875" customWidth="1"/>
    <col min="6" max="6" width="14.28515625" customWidth="1"/>
    <col min="7" max="7" width="7.28515625" hidden="1" customWidth="1"/>
    <col min="8" max="8" width="8.85546875" hidden="1" customWidth="1"/>
    <col min="9" max="9" width="13.7109375" customWidth="1"/>
    <col min="10" max="13" width="11.42578125" customWidth="1"/>
    <col min="14" max="15" width="11.42578125" hidden="1" customWidth="1"/>
    <col min="16" max="16" width="12.42578125" customWidth="1"/>
    <col min="21" max="22" width="11.42578125" hidden="1" customWidth="1"/>
    <col min="28" max="29" width="11.42578125" hidden="1" customWidth="1"/>
  </cols>
  <sheetData>
    <row r="1" spans="1:30" x14ac:dyDescent="0.25">
      <c r="B1" s="280" t="s">
        <v>35</v>
      </c>
      <c r="C1" s="281"/>
      <c r="D1" s="281"/>
      <c r="E1" s="281"/>
      <c r="F1" s="281"/>
      <c r="G1" s="281"/>
      <c r="H1" s="282"/>
      <c r="I1" s="280" t="s">
        <v>36</v>
      </c>
      <c r="J1" s="281"/>
      <c r="K1" s="281"/>
      <c r="L1" s="281"/>
      <c r="M1" s="281"/>
      <c r="N1" s="281"/>
      <c r="O1" s="282"/>
      <c r="P1" s="280" t="s">
        <v>37</v>
      </c>
      <c r="Q1" s="281"/>
      <c r="R1" s="281"/>
      <c r="S1" s="281"/>
      <c r="T1" s="281"/>
      <c r="U1" s="281"/>
      <c r="V1" s="282"/>
      <c r="W1" s="280" t="s">
        <v>38</v>
      </c>
      <c r="X1" s="281"/>
      <c r="Y1" s="281"/>
      <c r="Z1" s="281"/>
      <c r="AA1" s="281"/>
      <c r="AB1" s="281"/>
      <c r="AC1" s="282"/>
      <c r="AD1" s="12"/>
    </row>
    <row r="2" spans="1:30" x14ac:dyDescent="0.25">
      <c r="B2" s="4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5" t="s">
        <v>27</v>
      </c>
      <c r="I2" s="4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5" t="s">
        <v>27</v>
      </c>
      <c r="P2" s="4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5" t="s">
        <v>27</v>
      </c>
      <c r="W2" s="4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5" t="s">
        <v>27</v>
      </c>
      <c r="AD2" s="4"/>
    </row>
    <row r="3" spans="1:30" ht="15.75" thickBot="1" x14ac:dyDescent="0.3">
      <c r="A3" s="7"/>
      <c r="B3" s="8">
        <v>3</v>
      </c>
      <c r="C3" s="9">
        <v>4</v>
      </c>
      <c r="D3" s="9">
        <v>5</v>
      </c>
      <c r="E3" s="9">
        <v>6</v>
      </c>
      <c r="F3" s="10">
        <v>7</v>
      </c>
      <c r="G3" s="9">
        <v>8</v>
      </c>
      <c r="H3" s="10">
        <v>9</v>
      </c>
      <c r="I3" s="9">
        <v>10</v>
      </c>
      <c r="J3" s="9">
        <v>11</v>
      </c>
      <c r="K3" s="9">
        <v>12</v>
      </c>
      <c r="L3" s="9">
        <v>13</v>
      </c>
      <c r="M3" s="10">
        <v>14</v>
      </c>
      <c r="N3" s="9">
        <v>15</v>
      </c>
      <c r="O3" s="10">
        <v>16</v>
      </c>
      <c r="P3" s="9">
        <v>17</v>
      </c>
      <c r="Q3" s="9">
        <v>18</v>
      </c>
      <c r="R3" s="9">
        <v>19</v>
      </c>
      <c r="S3" s="9">
        <v>20</v>
      </c>
      <c r="T3" s="10">
        <v>21</v>
      </c>
      <c r="U3" s="9">
        <v>22</v>
      </c>
      <c r="V3" s="10">
        <v>23</v>
      </c>
      <c r="W3" s="9">
        <v>24</v>
      </c>
      <c r="X3" s="9">
        <v>25</v>
      </c>
      <c r="Y3" s="9">
        <v>26</v>
      </c>
      <c r="Z3" s="9">
        <v>27</v>
      </c>
      <c r="AA3" s="9">
        <v>28</v>
      </c>
      <c r="AB3" s="9">
        <v>29</v>
      </c>
      <c r="AC3" s="10">
        <v>30</v>
      </c>
      <c r="AD3" s="4"/>
    </row>
    <row r="4" spans="1:30" x14ac:dyDescent="0.25">
      <c r="A4" t="s">
        <v>40</v>
      </c>
      <c r="B4" s="37"/>
      <c r="C4" s="38"/>
      <c r="D4" s="38"/>
      <c r="E4" s="39"/>
      <c r="F4" s="38"/>
      <c r="G4" s="38"/>
      <c r="H4" s="40"/>
      <c r="I4" s="37"/>
      <c r="J4" s="38"/>
      <c r="K4" s="38"/>
      <c r="L4" s="38"/>
      <c r="M4" s="38"/>
      <c r="N4" s="38"/>
      <c r="O4" s="40"/>
      <c r="P4" s="37"/>
      <c r="Q4" s="38"/>
      <c r="R4" s="38"/>
      <c r="S4" s="38"/>
      <c r="T4" s="38"/>
      <c r="U4" s="38"/>
      <c r="V4" s="40"/>
      <c r="W4" s="37"/>
      <c r="X4" s="38"/>
      <c r="Y4" s="38"/>
      <c r="Z4" s="38"/>
      <c r="AA4" s="38"/>
      <c r="AB4" s="38"/>
      <c r="AC4" s="40"/>
      <c r="AD4" s="37"/>
    </row>
    <row r="5" spans="1:30" x14ac:dyDescent="0.25">
      <c r="A5" t="s">
        <v>41</v>
      </c>
      <c r="B5" s="37"/>
      <c r="C5" s="38"/>
      <c r="D5" s="38"/>
      <c r="E5" s="39"/>
      <c r="F5" s="293" t="s">
        <v>265</v>
      </c>
      <c r="G5" s="38"/>
      <c r="H5" s="40"/>
      <c r="I5" s="37"/>
      <c r="J5" s="38"/>
      <c r="K5" s="38"/>
      <c r="L5" s="38"/>
      <c r="M5" s="38"/>
      <c r="N5" s="38"/>
      <c r="O5" s="40"/>
      <c r="P5" s="37"/>
      <c r="Q5" s="38"/>
      <c r="R5" s="38"/>
      <c r="S5" s="38"/>
      <c r="T5" s="38"/>
      <c r="U5" s="38"/>
      <c r="V5" s="40"/>
      <c r="W5" s="37"/>
      <c r="X5" s="38"/>
      <c r="Y5" s="38"/>
      <c r="Z5" s="38"/>
      <c r="AA5" s="38"/>
      <c r="AB5" s="38"/>
      <c r="AC5" s="40"/>
      <c r="AD5" s="37"/>
    </row>
    <row r="6" spans="1:30" ht="15" customHeight="1" x14ac:dyDescent="0.25">
      <c r="A6" t="s">
        <v>42</v>
      </c>
      <c r="B6" s="37"/>
      <c r="C6" s="38"/>
      <c r="D6" s="39"/>
      <c r="E6" s="39"/>
      <c r="F6" s="290"/>
      <c r="G6" s="38"/>
      <c r="H6" s="40"/>
      <c r="I6" s="41"/>
      <c r="J6" s="38"/>
      <c r="K6" s="38"/>
      <c r="L6" s="38"/>
      <c r="M6" s="293" t="s">
        <v>103</v>
      </c>
      <c r="N6" s="38"/>
      <c r="O6" s="40"/>
      <c r="P6" s="37"/>
      <c r="Q6" s="38"/>
      <c r="R6" s="38"/>
      <c r="S6" s="293" t="s">
        <v>259</v>
      </c>
      <c r="T6" s="38"/>
      <c r="U6" s="38"/>
      <c r="V6" s="40"/>
      <c r="W6" s="291" t="s">
        <v>265</v>
      </c>
      <c r="X6" s="38"/>
      <c r="Y6" s="38"/>
      <c r="Z6" s="38"/>
      <c r="AA6" s="38"/>
      <c r="AB6" s="38"/>
      <c r="AC6" s="40"/>
      <c r="AD6" s="37"/>
    </row>
    <row r="7" spans="1:30" x14ac:dyDescent="0.25">
      <c r="A7" t="s">
        <v>43</v>
      </c>
      <c r="B7" s="37"/>
      <c r="C7" s="38"/>
      <c r="D7" s="39"/>
      <c r="E7" s="39"/>
      <c r="F7" s="38"/>
      <c r="G7" s="38"/>
      <c r="H7" s="40"/>
      <c r="I7" s="41"/>
      <c r="J7" s="38"/>
      <c r="K7" s="38"/>
      <c r="L7" s="38"/>
      <c r="M7" s="290"/>
      <c r="N7" s="38"/>
      <c r="O7" s="40"/>
      <c r="P7" s="37"/>
      <c r="Q7" s="38"/>
      <c r="R7" s="38"/>
      <c r="S7" s="290"/>
      <c r="T7" s="38"/>
      <c r="U7" s="38"/>
      <c r="V7" s="40"/>
      <c r="W7" s="292"/>
      <c r="X7" s="38"/>
      <c r="Y7" s="38"/>
      <c r="Z7" s="38"/>
      <c r="AA7" s="38"/>
      <c r="AB7" s="38"/>
      <c r="AC7" s="40"/>
      <c r="AD7" s="37"/>
    </row>
    <row r="8" spans="1:30" x14ac:dyDescent="0.25">
      <c r="A8" t="s">
        <v>65</v>
      </c>
      <c r="B8" s="37"/>
      <c r="C8" s="38"/>
      <c r="D8" s="38"/>
      <c r="E8" s="38"/>
      <c r="F8" s="38"/>
      <c r="G8" s="38"/>
      <c r="H8" s="40"/>
      <c r="I8" s="37"/>
      <c r="J8" s="38"/>
      <c r="K8" s="38"/>
      <c r="L8" s="38"/>
      <c r="M8" s="38"/>
      <c r="N8" s="38"/>
      <c r="O8" s="40"/>
      <c r="P8" s="37"/>
      <c r="Q8" s="38"/>
      <c r="R8" s="38"/>
      <c r="S8" s="38"/>
      <c r="T8" s="38"/>
      <c r="U8" s="38"/>
      <c r="V8" s="40"/>
      <c r="W8" s="37"/>
      <c r="X8" s="38"/>
      <c r="Y8" s="38"/>
      <c r="Z8" s="38"/>
      <c r="AA8" s="38"/>
      <c r="AB8" s="38"/>
      <c r="AC8" s="40"/>
      <c r="AD8" s="37"/>
    </row>
    <row r="9" spans="1:30" x14ac:dyDescent="0.25">
      <c r="A9" t="s">
        <v>66</v>
      </c>
      <c r="B9" s="37"/>
      <c r="C9" s="38"/>
      <c r="D9" s="38"/>
      <c r="E9" s="38"/>
      <c r="F9" s="38"/>
      <c r="G9" s="38"/>
      <c r="H9" s="40"/>
      <c r="I9" s="37"/>
      <c r="J9" s="38"/>
      <c r="K9" s="38"/>
      <c r="L9" s="38"/>
      <c r="M9" s="38"/>
      <c r="N9" s="38"/>
      <c r="O9" s="40"/>
      <c r="P9" s="37"/>
      <c r="Q9" s="38"/>
      <c r="R9" s="38"/>
      <c r="S9" s="38"/>
      <c r="T9" s="38"/>
      <c r="U9" s="38"/>
      <c r="V9" s="40"/>
      <c r="W9" s="37"/>
      <c r="X9" s="38"/>
      <c r="Y9" s="38"/>
      <c r="Z9" s="38"/>
      <c r="AA9" s="38"/>
      <c r="AB9" s="38"/>
      <c r="AC9" s="40"/>
      <c r="AD9" s="37"/>
    </row>
    <row r="10" spans="1:30" x14ac:dyDescent="0.25">
      <c r="A10" t="s">
        <v>44</v>
      </c>
      <c r="B10" s="37"/>
      <c r="C10" s="38"/>
      <c r="D10" s="38"/>
      <c r="E10" s="38"/>
      <c r="F10" s="38"/>
      <c r="G10" s="38"/>
      <c r="H10" s="40"/>
      <c r="I10" s="37"/>
      <c r="J10" s="38"/>
      <c r="K10" s="38"/>
      <c r="L10" s="38"/>
      <c r="M10" s="38"/>
      <c r="N10" s="38"/>
      <c r="O10" s="40"/>
      <c r="P10" s="37"/>
      <c r="Q10" s="38"/>
      <c r="R10" s="38"/>
      <c r="S10" s="38"/>
      <c r="T10" s="38"/>
      <c r="U10" s="38"/>
      <c r="V10" s="40"/>
      <c r="W10" s="37"/>
      <c r="X10" s="38"/>
      <c r="Y10" s="38"/>
      <c r="Z10" s="38"/>
      <c r="AA10" s="38"/>
      <c r="AB10" s="38"/>
      <c r="AC10" s="40"/>
      <c r="AD10" s="37"/>
    </row>
    <row r="11" spans="1:30" x14ac:dyDescent="0.25">
      <c r="A11" t="s">
        <v>45</v>
      </c>
      <c r="B11" s="37"/>
      <c r="C11" s="38"/>
      <c r="D11" s="38"/>
      <c r="E11" s="38"/>
      <c r="F11" s="38"/>
      <c r="G11" s="38"/>
      <c r="H11" s="40"/>
      <c r="I11" s="37"/>
      <c r="J11" s="38"/>
      <c r="K11" s="38"/>
      <c r="L11" s="38"/>
      <c r="M11" s="38"/>
      <c r="N11" s="38"/>
      <c r="O11" s="40"/>
      <c r="P11" s="37"/>
      <c r="Q11" s="38"/>
      <c r="R11" s="38"/>
      <c r="S11" s="38"/>
      <c r="T11" s="38"/>
      <c r="U11" s="38"/>
      <c r="V11" s="40"/>
      <c r="W11" s="37"/>
      <c r="X11" s="38"/>
      <c r="Y11" s="38"/>
      <c r="Z11" s="38"/>
      <c r="AA11" s="38"/>
      <c r="AB11" s="38"/>
      <c r="AC11" s="40"/>
      <c r="AD11" s="37"/>
    </row>
    <row r="12" spans="1:30" x14ac:dyDescent="0.25">
      <c r="A12" t="s">
        <v>46</v>
      </c>
      <c r="B12" s="37"/>
      <c r="C12" s="38"/>
      <c r="D12" s="38"/>
      <c r="E12" s="38"/>
      <c r="F12" s="38"/>
      <c r="G12" s="38"/>
      <c r="H12" s="40"/>
      <c r="I12" s="37"/>
      <c r="J12" s="38"/>
      <c r="K12" s="38"/>
      <c r="L12" s="38"/>
      <c r="M12" s="38"/>
      <c r="N12" s="38"/>
      <c r="O12" s="40"/>
      <c r="P12" s="37"/>
      <c r="Q12" s="38"/>
      <c r="R12" s="38"/>
      <c r="S12" s="38"/>
      <c r="T12" s="38"/>
      <c r="U12" s="38"/>
      <c r="V12" s="40"/>
      <c r="W12" s="37"/>
      <c r="X12" s="38"/>
      <c r="Y12" s="38"/>
      <c r="Z12" s="38"/>
      <c r="AA12" s="38"/>
      <c r="AB12" s="38"/>
      <c r="AC12" s="40"/>
      <c r="AD12" s="37"/>
    </row>
    <row r="13" spans="1:30" x14ac:dyDescent="0.25">
      <c r="A13" t="s">
        <v>47</v>
      </c>
      <c r="B13" s="37"/>
      <c r="C13" s="38"/>
      <c r="D13" s="38"/>
      <c r="E13" s="38"/>
      <c r="F13" s="38"/>
      <c r="G13" s="38"/>
      <c r="H13" s="40"/>
      <c r="I13" s="37"/>
      <c r="J13" s="38"/>
      <c r="K13" s="38"/>
      <c r="L13" s="38"/>
      <c r="M13" s="38"/>
      <c r="N13" s="38"/>
      <c r="O13" s="40"/>
      <c r="P13" s="37"/>
      <c r="Q13" s="38"/>
      <c r="R13" s="38"/>
      <c r="S13" s="38"/>
      <c r="T13" s="38"/>
      <c r="U13" s="38"/>
      <c r="V13" s="40"/>
      <c r="W13" s="37"/>
      <c r="X13" s="38"/>
      <c r="Y13" s="38"/>
      <c r="Z13" s="38"/>
      <c r="AA13" s="38"/>
      <c r="AB13" s="38"/>
      <c r="AC13" s="40"/>
      <c r="AD13" s="37"/>
    </row>
    <row r="14" spans="1:30" x14ac:dyDescent="0.25">
      <c r="A14" t="s">
        <v>48</v>
      </c>
      <c r="B14" s="37"/>
      <c r="C14" s="38"/>
      <c r="D14" s="38"/>
      <c r="E14" s="38"/>
      <c r="F14" s="38"/>
      <c r="G14" s="38"/>
      <c r="H14" s="40"/>
      <c r="I14" s="37"/>
      <c r="J14" s="38"/>
      <c r="K14" s="38"/>
      <c r="L14" s="38"/>
      <c r="M14" s="38"/>
      <c r="N14" s="38"/>
      <c r="O14" s="40"/>
      <c r="P14" s="37"/>
      <c r="Q14" s="38"/>
      <c r="R14" s="38"/>
      <c r="S14" s="38"/>
      <c r="T14" s="38"/>
      <c r="U14" s="38"/>
      <c r="V14" s="40"/>
      <c r="W14" s="37"/>
      <c r="X14" s="38"/>
      <c r="Y14" s="38"/>
      <c r="Z14" s="38"/>
      <c r="AA14" s="38"/>
      <c r="AB14" s="38"/>
      <c r="AC14" s="40"/>
      <c r="AD14" s="37"/>
    </row>
    <row r="15" spans="1:30" x14ac:dyDescent="0.25">
      <c r="A15" t="s">
        <v>49</v>
      </c>
      <c r="B15" s="37"/>
      <c r="C15" s="38"/>
      <c r="D15" s="39"/>
      <c r="E15" s="38"/>
      <c r="F15" s="40"/>
      <c r="G15" s="38"/>
      <c r="H15" s="38"/>
      <c r="I15" s="291" t="s">
        <v>68</v>
      </c>
      <c r="J15" s="38"/>
      <c r="K15" s="38"/>
      <c r="L15" s="38"/>
      <c r="M15" s="38"/>
      <c r="N15" s="38"/>
      <c r="O15" s="40"/>
      <c r="P15" s="37"/>
      <c r="Q15" s="38"/>
      <c r="R15" s="38"/>
      <c r="S15" s="38"/>
      <c r="T15" s="38"/>
      <c r="U15" s="38"/>
      <c r="V15" s="40"/>
      <c r="W15" s="37"/>
      <c r="X15" s="38"/>
      <c r="Y15" s="38"/>
      <c r="Z15" s="38"/>
      <c r="AA15" s="38"/>
      <c r="AB15" s="38"/>
      <c r="AC15" s="40"/>
      <c r="AD15" s="37"/>
    </row>
    <row r="16" spans="1:30" x14ac:dyDescent="0.25">
      <c r="A16" t="s">
        <v>50</v>
      </c>
      <c r="B16" s="37"/>
      <c r="C16" s="38"/>
      <c r="D16" s="39"/>
      <c r="E16" s="38"/>
      <c r="F16" s="40"/>
      <c r="G16" s="38"/>
      <c r="H16" s="38"/>
      <c r="I16" s="292"/>
      <c r="J16" s="38"/>
      <c r="K16" s="38"/>
      <c r="L16" s="38"/>
      <c r="M16" s="38"/>
      <c r="N16" s="38"/>
      <c r="O16" s="40"/>
      <c r="P16" s="37"/>
      <c r="Q16" s="38"/>
      <c r="R16" s="38"/>
      <c r="S16" s="38"/>
      <c r="T16" s="38"/>
      <c r="U16" s="38"/>
      <c r="V16" s="40"/>
      <c r="W16" s="37"/>
      <c r="X16" s="38"/>
      <c r="Y16" s="38"/>
      <c r="Z16" s="38"/>
      <c r="AA16" s="38"/>
      <c r="AB16" s="38"/>
      <c r="AC16" s="40"/>
      <c r="AD16" s="37"/>
    </row>
    <row r="17" spans="1:30" x14ac:dyDescent="0.25">
      <c r="A17" t="s">
        <v>51</v>
      </c>
      <c r="B17" s="37"/>
      <c r="C17" s="38"/>
      <c r="D17" s="38"/>
      <c r="E17" s="38"/>
      <c r="F17" s="38"/>
      <c r="G17" s="38"/>
      <c r="H17" s="40"/>
      <c r="I17" s="37"/>
      <c r="J17" s="38"/>
      <c r="K17" s="38"/>
      <c r="L17" s="38"/>
      <c r="M17" s="38"/>
      <c r="N17" s="38"/>
      <c r="O17" s="40"/>
      <c r="P17" s="37"/>
      <c r="Q17" s="38"/>
      <c r="R17" s="38"/>
      <c r="S17" s="38"/>
      <c r="T17" s="38"/>
      <c r="U17" s="38"/>
      <c r="V17" s="40"/>
      <c r="W17" s="37"/>
      <c r="X17" s="38"/>
      <c r="Y17" s="38"/>
      <c r="Z17" s="38"/>
      <c r="AA17" s="38"/>
      <c r="AB17" s="38"/>
      <c r="AC17" s="40"/>
      <c r="AD17" s="37"/>
    </row>
    <row r="18" spans="1:30" x14ac:dyDescent="0.25">
      <c r="A18" t="s">
        <v>52</v>
      </c>
      <c r="B18" s="37"/>
      <c r="C18" s="38"/>
      <c r="D18" s="38"/>
      <c r="E18" s="38"/>
      <c r="F18" s="38"/>
      <c r="G18" s="38"/>
      <c r="H18" s="40"/>
      <c r="I18" s="37"/>
      <c r="J18" s="38"/>
      <c r="K18" s="38"/>
      <c r="L18" s="38"/>
      <c r="M18" s="38"/>
      <c r="N18" s="38"/>
      <c r="O18" s="40"/>
      <c r="P18" s="37"/>
      <c r="Q18" s="38"/>
      <c r="R18" s="38"/>
      <c r="S18" s="38"/>
      <c r="T18" s="38"/>
      <c r="U18" s="38"/>
      <c r="V18" s="40"/>
      <c r="W18" s="37"/>
      <c r="X18" s="38"/>
      <c r="Y18" s="38"/>
      <c r="Z18" s="38"/>
      <c r="AA18" s="38"/>
      <c r="AB18" s="38"/>
      <c r="AC18" s="40"/>
      <c r="AD18" s="37"/>
    </row>
    <row r="19" spans="1:30" x14ac:dyDescent="0.25">
      <c r="A19" t="s">
        <v>53</v>
      </c>
      <c r="B19" s="37"/>
      <c r="C19" s="38"/>
      <c r="D19" s="38"/>
      <c r="E19" s="38"/>
      <c r="F19" s="38"/>
      <c r="G19" s="38"/>
      <c r="H19" s="40"/>
      <c r="I19" s="37"/>
      <c r="J19" s="38"/>
      <c r="K19" s="38"/>
      <c r="L19" s="38"/>
      <c r="M19" s="38"/>
      <c r="N19" s="38"/>
      <c r="O19" s="40"/>
      <c r="P19" s="37"/>
      <c r="Q19" s="38"/>
      <c r="R19" s="38"/>
      <c r="S19" s="38"/>
      <c r="T19" s="38"/>
      <c r="U19" s="38"/>
      <c r="V19" s="40"/>
      <c r="W19" s="37"/>
      <c r="X19" s="38"/>
      <c r="Y19" s="38"/>
      <c r="Z19" s="38"/>
      <c r="AA19" s="38"/>
      <c r="AB19" s="38"/>
      <c r="AC19" s="40"/>
      <c r="AD19" s="37"/>
    </row>
    <row r="20" spans="1:30" x14ac:dyDescent="0.25">
      <c r="A20" t="s">
        <v>54</v>
      </c>
      <c r="B20" s="37"/>
      <c r="C20" s="38"/>
      <c r="D20" s="38"/>
      <c r="E20" s="38"/>
      <c r="F20" s="38"/>
      <c r="G20" s="38"/>
      <c r="H20" s="40"/>
      <c r="I20" s="37"/>
      <c r="J20" s="38"/>
      <c r="K20" s="38"/>
      <c r="L20" s="38"/>
      <c r="M20" s="38"/>
      <c r="N20" s="38"/>
      <c r="O20" s="40"/>
      <c r="P20" s="37"/>
      <c r="Q20" s="38"/>
      <c r="R20" s="38"/>
      <c r="S20" s="38"/>
      <c r="T20" s="38"/>
      <c r="U20" s="38"/>
      <c r="V20" s="40"/>
      <c r="W20" s="37"/>
      <c r="X20" s="38"/>
      <c r="Y20" s="38"/>
      <c r="Z20" s="38"/>
      <c r="AA20" s="38"/>
      <c r="AB20" s="38"/>
      <c r="AC20" s="40"/>
      <c r="AD20" s="37"/>
    </row>
    <row r="21" spans="1:30" x14ac:dyDescent="0.25">
      <c r="A21" t="s">
        <v>55</v>
      </c>
      <c r="B21" s="37"/>
      <c r="C21" s="38"/>
      <c r="D21" s="38"/>
      <c r="E21" s="38"/>
      <c r="F21" s="38"/>
      <c r="G21" s="38"/>
      <c r="H21" s="40"/>
      <c r="I21" s="37"/>
      <c r="J21" s="38"/>
      <c r="K21" s="38"/>
      <c r="L21" s="38"/>
      <c r="M21" s="38"/>
      <c r="N21" s="38"/>
      <c r="O21" s="40"/>
      <c r="P21" s="37"/>
      <c r="Q21" s="38"/>
      <c r="R21" s="38"/>
      <c r="S21" s="38"/>
      <c r="T21" s="38"/>
      <c r="U21" s="38"/>
      <c r="V21" s="40"/>
      <c r="W21" s="37"/>
      <c r="X21" s="38"/>
      <c r="Y21" s="38"/>
      <c r="Z21" s="38"/>
      <c r="AA21" s="38"/>
      <c r="AB21" s="38"/>
      <c r="AC21" s="40"/>
      <c r="AD21" s="37"/>
    </row>
    <row r="22" spans="1:30" x14ac:dyDescent="0.25">
      <c r="A22" t="s">
        <v>56</v>
      </c>
      <c r="B22" s="37"/>
      <c r="C22" s="38"/>
      <c r="D22" s="38"/>
      <c r="E22" s="38"/>
      <c r="F22" s="38"/>
      <c r="G22" s="38"/>
      <c r="H22" s="40"/>
      <c r="I22" s="37"/>
      <c r="J22" s="38"/>
      <c r="K22" s="38"/>
      <c r="L22" s="38"/>
      <c r="M22" s="38"/>
      <c r="N22" s="38"/>
      <c r="O22" s="40"/>
      <c r="P22" s="37"/>
      <c r="Q22" s="38"/>
      <c r="R22" s="38"/>
      <c r="S22" s="38"/>
      <c r="T22" s="38"/>
      <c r="U22" s="38"/>
      <c r="V22" s="40"/>
      <c r="W22" s="37"/>
      <c r="X22" s="38"/>
      <c r="Y22" s="38"/>
      <c r="Z22" s="38"/>
      <c r="AA22" s="38"/>
      <c r="AB22" s="38"/>
      <c r="AC22" s="40"/>
      <c r="AD22" s="37"/>
    </row>
    <row r="23" spans="1:30" ht="15" customHeight="1" x14ac:dyDescent="0.25">
      <c r="A23" t="s">
        <v>57</v>
      </c>
      <c r="B23" s="37"/>
      <c r="C23" s="38"/>
      <c r="D23" s="38"/>
      <c r="E23" s="38"/>
      <c r="F23" s="38"/>
      <c r="G23" s="38"/>
      <c r="H23" s="40"/>
      <c r="I23" s="37"/>
      <c r="J23" s="38"/>
      <c r="K23" s="38"/>
      <c r="L23" s="38"/>
      <c r="M23" s="38"/>
      <c r="N23" s="38"/>
      <c r="O23" s="40"/>
      <c r="P23" s="291" t="s">
        <v>265</v>
      </c>
      <c r="Q23" s="38"/>
      <c r="R23" s="38"/>
      <c r="S23" s="38"/>
      <c r="T23" s="306" t="s">
        <v>101</v>
      </c>
      <c r="U23" s="38"/>
      <c r="V23" s="40"/>
      <c r="W23" s="37"/>
      <c r="X23" s="38"/>
      <c r="Y23" s="38"/>
      <c r="Z23" s="38"/>
      <c r="AA23" s="38"/>
      <c r="AB23" s="38"/>
      <c r="AC23" s="40"/>
      <c r="AD23" s="37"/>
    </row>
    <row r="24" spans="1:30" x14ac:dyDescent="0.25">
      <c r="A24" t="s">
        <v>58</v>
      </c>
      <c r="B24" s="37"/>
      <c r="C24" s="38"/>
      <c r="D24" s="38"/>
      <c r="E24" s="38"/>
      <c r="F24" s="38"/>
      <c r="G24" s="38"/>
      <c r="H24" s="40"/>
      <c r="I24" s="37"/>
      <c r="J24" s="38"/>
      <c r="K24" s="38"/>
      <c r="L24" s="38"/>
      <c r="M24" s="38"/>
      <c r="N24" s="38"/>
      <c r="O24" s="40"/>
      <c r="P24" s="292"/>
      <c r="Q24" s="38"/>
      <c r="R24" s="38"/>
      <c r="S24" s="38"/>
      <c r="T24" s="307"/>
      <c r="U24" s="38"/>
      <c r="V24" s="40"/>
      <c r="W24" s="37"/>
      <c r="X24" s="38"/>
      <c r="Y24" s="38"/>
      <c r="Z24" s="38"/>
      <c r="AA24" s="38"/>
      <c r="AB24" s="38"/>
      <c r="AC24" s="40"/>
      <c r="AD24" s="37"/>
    </row>
    <row r="25" spans="1:30" x14ac:dyDescent="0.25">
      <c r="A25" t="s">
        <v>59</v>
      </c>
      <c r="B25" s="41"/>
      <c r="C25" s="293" t="s">
        <v>200</v>
      </c>
      <c r="D25" s="38"/>
      <c r="E25" s="38"/>
      <c r="F25" s="38"/>
      <c r="G25" s="38"/>
      <c r="H25" s="40"/>
      <c r="I25" s="37"/>
      <c r="J25" s="38"/>
      <c r="K25" s="38"/>
      <c r="L25" s="38"/>
      <c r="M25" s="38"/>
      <c r="N25" s="38"/>
      <c r="O25" s="40"/>
      <c r="P25" s="291" t="s">
        <v>101</v>
      </c>
      <c r="Q25" s="38"/>
      <c r="R25" s="38"/>
      <c r="S25" s="293" t="s">
        <v>200</v>
      </c>
      <c r="T25" s="38"/>
      <c r="U25" s="38"/>
      <c r="V25" s="40"/>
      <c r="W25" s="37"/>
      <c r="X25" s="293" t="s">
        <v>200</v>
      </c>
      <c r="Y25" s="38"/>
      <c r="Z25" s="38"/>
      <c r="AA25" s="38"/>
      <c r="AB25" s="38"/>
      <c r="AC25" s="40"/>
      <c r="AD25" s="37"/>
    </row>
    <row r="26" spans="1:30" ht="15" customHeight="1" x14ac:dyDescent="0.25">
      <c r="A26" t="s">
        <v>60</v>
      </c>
      <c r="B26" s="41"/>
      <c r="C26" s="290"/>
      <c r="D26" s="38"/>
      <c r="E26" s="38"/>
      <c r="F26" s="38"/>
      <c r="G26" s="38"/>
      <c r="H26" s="40"/>
      <c r="I26" s="291" t="s">
        <v>282</v>
      </c>
      <c r="J26" s="293" t="s">
        <v>265</v>
      </c>
      <c r="K26" s="38"/>
      <c r="L26" s="38"/>
      <c r="M26" s="38"/>
      <c r="N26" s="38"/>
      <c r="O26" s="40"/>
      <c r="P26" s="292"/>
      <c r="Q26" s="38"/>
      <c r="R26" s="38"/>
      <c r="S26" s="290"/>
      <c r="T26" s="38"/>
      <c r="U26" s="38"/>
      <c r="V26" s="40"/>
      <c r="W26" s="37"/>
      <c r="X26" s="290"/>
      <c r="Y26" s="38"/>
      <c r="Z26" s="38"/>
      <c r="AA26" s="38"/>
      <c r="AB26" s="38"/>
      <c r="AC26" s="40"/>
      <c r="AD26" s="37"/>
    </row>
    <row r="27" spans="1:30" ht="15" customHeight="1" x14ac:dyDescent="0.25">
      <c r="A27" t="s">
        <v>61</v>
      </c>
      <c r="B27" s="37"/>
      <c r="C27" s="38"/>
      <c r="D27" s="38"/>
      <c r="E27" s="38"/>
      <c r="F27" s="38"/>
      <c r="G27" s="38"/>
      <c r="H27" s="40"/>
      <c r="I27" s="292"/>
      <c r="J27" s="290"/>
      <c r="K27" s="38"/>
      <c r="L27" s="38"/>
      <c r="M27" s="38"/>
      <c r="N27" s="38"/>
      <c r="O27" s="40"/>
      <c r="P27" s="291" t="s">
        <v>282</v>
      </c>
      <c r="Q27" s="38"/>
      <c r="R27" s="38"/>
      <c r="S27" s="293" t="s">
        <v>102</v>
      </c>
      <c r="T27" s="38"/>
      <c r="U27" s="38"/>
      <c r="V27" s="40"/>
      <c r="W27" s="37"/>
      <c r="X27" s="293" t="s">
        <v>282</v>
      </c>
      <c r="Y27" s="38"/>
      <c r="Z27" s="38"/>
      <c r="AA27" s="38"/>
      <c r="AB27" s="38"/>
      <c r="AC27" s="40"/>
      <c r="AD27" s="37"/>
    </row>
    <row r="28" spans="1:30" x14ac:dyDescent="0.25">
      <c r="A28" t="s">
        <v>62</v>
      </c>
      <c r="B28" s="37"/>
      <c r="C28" s="293" t="s">
        <v>101</v>
      </c>
      <c r="D28" s="38"/>
      <c r="E28" s="38"/>
      <c r="F28" s="306" t="s">
        <v>259</v>
      </c>
      <c r="G28" s="38"/>
      <c r="H28" s="40"/>
      <c r="I28" s="37"/>
      <c r="J28" s="38"/>
      <c r="K28" s="38"/>
      <c r="L28" s="38"/>
      <c r="M28" s="38"/>
      <c r="N28" s="38"/>
      <c r="O28" s="40"/>
      <c r="P28" s="292"/>
      <c r="Q28" s="38"/>
      <c r="R28" s="38"/>
      <c r="S28" s="290"/>
      <c r="T28" s="38"/>
      <c r="U28" s="38"/>
      <c r="V28" s="40"/>
      <c r="W28" s="37"/>
      <c r="X28" s="290"/>
      <c r="Y28" s="38"/>
      <c r="Z28" s="38"/>
      <c r="AA28" s="38"/>
      <c r="AB28" s="38"/>
      <c r="AC28" s="40"/>
      <c r="AD28" s="37"/>
    </row>
    <row r="29" spans="1:30" x14ac:dyDescent="0.25">
      <c r="A29" t="s">
        <v>63</v>
      </c>
      <c r="B29" s="37"/>
      <c r="C29" s="290"/>
      <c r="D29" s="38"/>
      <c r="E29" s="38"/>
      <c r="F29" s="307"/>
      <c r="G29" s="38"/>
      <c r="H29" s="40"/>
      <c r="I29" s="37"/>
      <c r="J29" s="38"/>
      <c r="K29" s="38"/>
      <c r="L29" s="38"/>
      <c r="M29" s="38"/>
      <c r="N29" s="38"/>
      <c r="O29" s="40"/>
      <c r="P29" s="37"/>
      <c r="Q29" s="38"/>
      <c r="R29" s="38"/>
      <c r="S29" s="38"/>
      <c r="T29" s="38"/>
      <c r="U29" s="38"/>
      <c r="V29" s="40"/>
      <c r="W29" s="37"/>
      <c r="X29" s="38"/>
      <c r="Y29" s="38"/>
      <c r="Z29" s="38"/>
      <c r="AA29" s="38"/>
      <c r="AB29" s="38"/>
      <c r="AC29" s="40"/>
      <c r="AD29" s="37"/>
    </row>
    <row r="30" spans="1:30" ht="15.75" thickBot="1" x14ac:dyDescent="0.3">
      <c r="A30" s="7" t="s">
        <v>64</v>
      </c>
      <c r="B30" s="42"/>
      <c r="C30" s="43"/>
      <c r="D30" s="43"/>
      <c r="E30" s="43"/>
      <c r="F30" s="43"/>
      <c r="G30" s="43"/>
      <c r="H30" s="44"/>
      <c r="I30" s="42"/>
      <c r="J30" s="43"/>
      <c r="K30" s="43"/>
      <c r="L30" s="43"/>
      <c r="M30" s="43"/>
      <c r="N30" s="43"/>
      <c r="O30" s="44"/>
      <c r="P30" s="42"/>
      <c r="Q30" s="43"/>
      <c r="R30" s="43"/>
      <c r="S30" s="43"/>
      <c r="T30" s="43"/>
      <c r="U30" s="43"/>
      <c r="V30" s="44"/>
      <c r="W30" s="42"/>
      <c r="X30" s="43"/>
      <c r="Y30" s="43"/>
      <c r="Z30" s="43"/>
      <c r="AA30" s="43"/>
      <c r="AB30" s="43"/>
      <c r="AC30" s="44"/>
      <c r="AD30" s="37"/>
    </row>
    <row r="34" spans="1:6" ht="15.75" thickBot="1" x14ac:dyDescent="0.3">
      <c r="A34" s="36" t="s">
        <v>74</v>
      </c>
      <c r="B34" s="16" t="s">
        <v>69</v>
      </c>
      <c r="C34" s="16" t="s">
        <v>75</v>
      </c>
    </row>
    <row r="35" spans="1:6" x14ac:dyDescent="0.25">
      <c r="A35">
        <v>1</v>
      </c>
      <c r="B35" s="3" cm="1">
        <f t="array" ref="B35">SUMPRODUCT(($B$4:$F$30&lt;&gt;"")*SUMIF('Datos - Axis'!$B$3:$B$21,$B$4:$F$30,'Datos - Axis'!$E$3:$E$21))</f>
        <v>79000</v>
      </c>
      <c r="C35" s="1" t="s">
        <v>31</v>
      </c>
      <c r="D35" s="14"/>
      <c r="E35" s="14"/>
      <c r="F35" s="14"/>
    </row>
    <row r="36" spans="1:6" x14ac:dyDescent="0.25">
      <c r="A36">
        <v>2</v>
      </c>
      <c r="B36" s="3" cm="1">
        <f t="array" ref="B36">SUMPRODUCT(($I$4:$M$30&lt;&gt;"")*SUMIF('Datos - Axis'!$B$3:$B$21,$I$4:$M$30,'Datos - Axis'!$E$3:$E$21))</f>
        <v>79000</v>
      </c>
      <c r="C36" s="1" t="s">
        <v>31</v>
      </c>
    </row>
    <row r="37" spans="1:6" x14ac:dyDescent="0.25">
      <c r="A37">
        <v>3</v>
      </c>
      <c r="B37" s="3" cm="1">
        <f t="array" ref="B37">SUMPRODUCT(($P$4:$T$30&lt;&gt;"")*SUMIF('Datos - Axis'!$B$3:$B$21,$P$4:$T$30,'Datos - Axis'!$E$3:$E$21))</f>
        <v>134000</v>
      </c>
      <c r="C37" s="1" t="s">
        <v>31</v>
      </c>
    </row>
    <row r="38" spans="1:6" x14ac:dyDescent="0.25">
      <c r="A38">
        <v>4</v>
      </c>
      <c r="B38" s="3" cm="1">
        <f t="array" ref="B38">SUMPRODUCT(($W$4:$AA$30&lt;&gt;"")*SUMIF('Datos - Axis'!$B$3:$B$21,$W$4:$AA$30,'Datos - Axis'!$E$3:$E$21))</f>
        <v>62000</v>
      </c>
      <c r="C38" s="1" t="s">
        <v>31</v>
      </c>
    </row>
    <row r="39" spans="1:6" x14ac:dyDescent="0.25">
      <c r="B39" s="3"/>
      <c r="C39" s="1"/>
    </row>
    <row r="41" spans="1:6" x14ac:dyDescent="0.25">
      <c r="A41" s="11" t="s">
        <v>76</v>
      </c>
      <c r="B41" s="23">
        <f>SUM(B35:B39)</f>
        <v>354000</v>
      </c>
    </row>
  </sheetData>
  <mergeCells count="22">
    <mergeCell ref="P23:P24"/>
    <mergeCell ref="P25:P26"/>
    <mergeCell ref="P27:P28"/>
    <mergeCell ref="C25:C26"/>
    <mergeCell ref="X25:X26"/>
    <mergeCell ref="X27:X28"/>
    <mergeCell ref="T23:T24"/>
    <mergeCell ref="S25:S26"/>
    <mergeCell ref="S27:S28"/>
    <mergeCell ref="F5:F6"/>
    <mergeCell ref="F28:F29"/>
    <mergeCell ref="I15:I16"/>
    <mergeCell ref="I26:I27"/>
    <mergeCell ref="B1:H1"/>
    <mergeCell ref="I1:O1"/>
    <mergeCell ref="C28:C29"/>
    <mergeCell ref="J26:J27"/>
    <mergeCell ref="P1:V1"/>
    <mergeCell ref="W6:W7"/>
    <mergeCell ref="W1:AC1"/>
    <mergeCell ref="S6:S7"/>
    <mergeCell ref="M6:M7"/>
  </mergeCells>
  <conditionalFormatting sqref="B41">
    <cfRule type="cellIs" dxfId="43" priority="16" operator="greaterThan">
      <formula>0</formula>
    </cfRule>
  </conditionalFormatting>
  <conditionalFormatting sqref="B35:C39">
    <cfRule type="expression" dxfId="42" priority="15">
      <formula>$C35="Si"</formula>
    </cfRule>
  </conditionalFormatting>
  <conditionalFormatting sqref="B4:AD5 B6:E6 T6:V7 X6:AD7 B7:L7 N7:R7 B8:AD14 B15:H16 J15:AD16 B17:AD22 B23:O24 B25:B26 K26:O27 B27:H27 B28:B29 D29:E29 G29:AD29 B30:AD30">
    <cfRule type="expression" dxfId="41" priority="19">
      <formula>B4&lt;&gt;""</formula>
    </cfRule>
  </conditionalFormatting>
  <conditionalFormatting sqref="C25:P25">
    <cfRule type="expression" dxfId="40" priority="8">
      <formula>C25&lt;&gt;""</formula>
    </cfRule>
  </conditionalFormatting>
  <conditionalFormatting sqref="D26:J26">
    <cfRule type="expression" dxfId="39" priority="10">
      <formula>D26&lt;&gt;""</formula>
    </cfRule>
  </conditionalFormatting>
  <conditionalFormatting sqref="G6:S6">
    <cfRule type="expression" dxfId="38" priority="6">
      <formula>G6&lt;&gt;""</formula>
    </cfRule>
  </conditionalFormatting>
  <conditionalFormatting sqref="I15">
    <cfRule type="expression" dxfId="37" priority="11">
      <formula>I15&lt;&gt;""</formula>
    </cfRule>
  </conditionalFormatting>
  <conditionalFormatting sqref="P23">
    <cfRule type="expression" dxfId="36" priority="9">
      <formula>P23&lt;&gt;""</formula>
    </cfRule>
  </conditionalFormatting>
  <conditionalFormatting sqref="P27">
    <cfRule type="expression" dxfId="35" priority="7">
      <formula>P27&lt;&gt;""</formula>
    </cfRule>
  </conditionalFormatting>
  <conditionalFormatting sqref="S25">
    <cfRule type="expression" dxfId="34" priority="5">
      <formula>S25&lt;&gt;""</formula>
    </cfRule>
  </conditionalFormatting>
  <conditionalFormatting sqref="S27">
    <cfRule type="expression" dxfId="33" priority="4">
      <formula>S27&lt;&gt;""</formula>
    </cfRule>
  </conditionalFormatting>
  <conditionalFormatting sqref="T23 Q23:S24 U23:AD24 Q25:R28 T25:W28 Y25:AD28 C28:O28">
    <cfRule type="expression" dxfId="32" priority="13">
      <formula>C23&lt;&gt;""</formula>
    </cfRule>
  </conditionalFormatting>
  <conditionalFormatting sqref="W6">
    <cfRule type="expression" dxfId="31" priority="3">
      <formula>W6&lt;&gt;""</formula>
    </cfRule>
  </conditionalFormatting>
  <conditionalFormatting sqref="X25">
    <cfRule type="expression" dxfId="30" priority="2">
      <formula>X25&lt;&gt;""</formula>
    </cfRule>
  </conditionalFormatting>
  <conditionalFormatting sqref="X27">
    <cfRule type="expression" dxfId="29" priority="1">
      <formula>X27&lt;&gt;""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C33301-FAC4-4D14-BAC9-D0D4CD05B268}">
          <x14:formula1>
            <xm:f>'Datos - Axis'!$B$3:$B$26</xm:f>
          </x14:formula1>
          <xm:sqref>B4:C8 W8 W4:W6 X4:AC8 T4:V8 T9:T23 I8:I15 S27 S29:S30 Q9:R30 S4:S6 T25:T30 N4:R8 P27 P25 P9:P23 S8:S25 K9:O30 M4:M6 P29:P30 J4:L8 J9:J26 M8 I17:I26 E9:E30 B27:B30 F30 B9:B25 D9:D15 D17:D30 C9:C30 D8:E8 D4:D6 E4 E6 F7:F28 F4:F5 G4:H30 I28:J30 I4:I6 U9:W30 Y9:AC30 X9:X25 X27 X29:X30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1922-D3D9-4968-AB11-6AE1D4A8A376}">
  <sheetPr codeName="Hoja12">
    <tabColor theme="7"/>
  </sheetPr>
  <dimension ref="A1:AD41"/>
  <sheetViews>
    <sheetView tabSelected="1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C38" sqref="C38"/>
    </sheetView>
  </sheetViews>
  <sheetFormatPr baseColWidth="10" defaultRowHeight="15" x14ac:dyDescent="0.25"/>
  <cols>
    <col min="1" max="1" width="15.5703125" bestFit="1" customWidth="1"/>
    <col min="2" max="2" width="12" bestFit="1" customWidth="1"/>
    <col min="4" max="4" width="13.7109375" bestFit="1" customWidth="1"/>
    <col min="5" max="5" width="14.28515625" bestFit="1" customWidth="1"/>
    <col min="6" max="6" width="17.140625" bestFit="1" customWidth="1"/>
    <col min="7" max="7" width="7.28515625" hidden="1" customWidth="1"/>
    <col min="8" max="8" width="8.85546875" hidden="1" customWidth="1"/>
    <col min="9" max="9" width="13.7109375" bestFit="1" customWidth="1"/>
    <col min="14" max="15" width="11.42578125" hidden="1" customWidth="1"/>
    <col min="21" max="22" width="11.42578125" hidden="1" customWidth="1"/>
    <col min="28" max="29" width="11.42578125" hidden="1" customWidth="1"/>
  </cols>
  <sheetData>
    <row r="1" spans="1:30" x14ac:dyDescent="0.25">
      <c r="B1" s="280" t="s">
        <v>35</v>
      </c>
      <c r="C1" s="281"/>
      <c r="D1" s="281"/>
      <c r="E1" s="281"/>
      <c r="F1" s="281"/>
      <c r="G1" s="281"/>
      <c r="H1" s="282"/>
      <c r="I1" s="280" t="s">
        <v>36</v>
      </c>
      <c r="J1" s="281"/>
      <c r="K1" s="281"/>
      <c r="L1" s="281"/>
      <c r="M1" s="281"/>
      <c r="N1" s="281"/>
      <c r="O1" s="282"/>
      <c r="P1" s="280" t="s">
        <v>37</v>
      </c>
      <c r="Q1" s="281"/>
      <c r="R1" s="281"/>
      <c r="S1" s="281"/>
      <c r="T1" s="281"/>
      <c r="U1" s="281"/>
      <c r="V1" s="282"/>
      <c r="W1" s="280" t="s">
        <v>38</v>
      </c>
      <c r="X1" s="281"/>
      <c r="Y1" s="281"/>
      <c r="Z1" s="281"/>
      <c r="AA1" s="281"/>
      <c r="AB1" s="281"/>
      <c r="AC1" s="282"/>
      <c r="AD1" s="12"/>
    </row>
    <row r="2" spans="1:30" x14ac:dyDescent="0.25">
      <c r="B2" s="4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5" t="s">
        <v>27</v>
      </c>
      <c r="I2" s="4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5" t="s">
        <v>27</v>
      </c>
      <c r="P2" s="4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5" t="s">
        <v>27</v>
      </c>
      <c r="W2" s="4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5" t="s">
        <v>27</v>
      </c>
      <c r="AD2" s="4"/>
    </row>
    <row r="3" spans="1:30" ht="15.75" thickBot="1" x14ac:dyDescent="0.3">
      <c r="A3" s="7"/>
      <c r="B3" s="8">
        <v>31</v>
      </c>
      <c r="C3" s="9">
        <v>1</v>
      </c>
      <c r="D3" s="9">
        <v>2</v>
      </c>
      <c r="E3" s="9">
        <v>3</v>
      </c>
      <c r="F3" s="10">
        <v>4</v>
      </c>
      <c r="G3" s="9">
        <v>5</v>
      </c>
      <c r="H3" s="10">
        <v>6</v>
      </c>
      <c r="I3" s="9">
        <v>7</v>
      </c>
      <c r="J3" s="9">
        <v>8</v>
      </c>
      <c r="K3" s="9">
        <v>9</v>
      </c>
      <c r="L3" s="9">
        <v>10</v>
      </c>
      <c r="M3" s="10">
        <v>11</v>
      </c>
      <c r="N3" s="9">
        <v>12</v>
      </c>
      <c r="O3" s="10">
        <v>13</v>
      </c>
      <c r="P3" s="9">
        <v>14</v>
      </c>
      <c r="Q3" s="9">
        <v>15</v>
      </c>
      <c r="R3" s="9">
        <v>16</v>
      </c>
      <c r="S3" s="9">
        <v>17</v>
      </c>
      <c r="T3" s="10">
        <v>18</v>
      </c>
      <c r="U3" s="9">
        <v>19</v>
      </c>
      <c r="V3" s="10">
        <v>20</v>
      </c>
      <c r="W3" s="9">
        <v>21</v>
      </c>
      <c r="X3" s="9">
        <v>22</v>
      </c>
      <c r="Y3" s="9">
        <v>23</v>
      </c>
      <c r="Z3" s="9">
        <v>24</v>
      </c>
      <c r="AA3" s="9">
        <v>25</v>
      </c>
      <c r="AB3" s="9">
        <v>26</v>
      </c>
      <c r="AC3" s="10">
        <v>27</v>
      </c>
      <c r="AD3" s="4"/>
    </row>
    <row r="4" spans="1:30" x14ac:dyDescent="0.25">
      <c r="A4" t="s">
        <v>40</v>
      </c>
      <c r="B4" s="37"/>
      <c r="C4" s="38"/>
      <c r="D4" s="38"/>
      <c r="E4" s="39"/>
      <c r="F4" s="38"/>
      <c r="G4" s="38"/>
      <c r="H4" s="40"/>
      <c r="I4" s="37"/>
      <c r="J4" s="38"/>
      <c r="K4" s="38"/>
      <c r="L4" s="38"/>
      <c r="M4" s="38"/>
      <c r="N4" s="38"/>
      <c r="O4" s="40"/>
      <c r="P4" s="37"/>
      <c r="Q4" s="38"/>
      <c r="R4" s="38"/>
      <c r="S4" s="38"/>
      <c r="T4" s="38"/>
      <c r="U4" s="38"/>
      <c r="V4" s="40"/>
      <c r="W4" s="37"/>
      <c r="X4" s="38"/>
      <c r="Y4" s="38"/>
      <c r="Z4" s="38"/>
      <c r="AA4" s="38"/>
      <c r="AC4" s="6"/>
      <c r="AD4" s="37"/>
    </row>
    <row r="5" spans="1:30" x14ac:dyDescent="0.25">
      <c r="A5" t="s">
        <v>41</v>
      </c>
      <c r="B5" s="37"/>
      <c r="C5" s="38"/>
      <c r="D5" s="38"/>
      <c r="E5" s="39"/>
      <c r="F5" s="39"/>
      <c r="G5" s="38"/>
      <c r="H5" s="40"/>
      <c r="I5" s="37"/>
      <c r="J5" s="38"/>
      <c r="K5" s="38"/>
      <c r="L5" s="38"/>
      <c r="M5" s="38"/>
      <c r="N5" s="38"/>
      <c r="O5" s="40"/>
      <c r="P5" s="37"/>
      <c r="Q5" s="38"/>
      <c r="R5" s="38"/>
      <c r="S5" s="38"/>
      <c r="T5" s="38"/>
      <c r="U5" s="38"/>
      <c r="V5" s="40"/>
      <c r="W5" s="37"/>
      <c r="X5" s="38"/>
      <c r="Y5" s="38"/>
      <c r="Z5" s="38"/>
      <c r="AA5" s="38"/>
      <c r="AC5" s="6"/>
      <c r="AD5" s="37"/>
    </row>
    <row r="6" spans="1:30" ht="15" customHeight="1" x14ac:dyDescent="0.25">
      <c r="A6" t="s">
        <v>42</v>
      </c>
      <c r="B6" s="291" t="s">
        <v>265</v>
      </c>
      <c r="C6" s="38"/>
      <c r="D6" s="39"/>
      <c r="E6" s="39"/>
      <c r="F6" s="39"/>
      <c r="G6" s="38"/>
      <c r="H6" s="40"/>
      <c r="I6" s="291" t="s">
        <v>265</v>
      </c>
      <c r="J6" s="38"/>
      <c r="K6" s="38"/>
      <c r="L6" s="38"/>
      <c r="M6" s="38"/>
      <c r="N6" s="38"/>
      <c r="O6" s="40"/>
      <c r="P6" s="291" t="s">
        <v>265</v>
      </c>
      <c r="Q6" s="38"/>
      <c r="R6" s="38"/>
      <c r="S6" s="38"/>
      <c r="T6" s="38"/>
      <c r="U6" s="38"/>
      <c r="V6" s="40"/>
      <c r="W6" s="37"/>
      <c r="X6" s="38"/>
      <c r="Y6" s="38"/>
      <c r="Z6" s="38"/>
      <c r="AA6" s="38"/>
      <c r="AC6" s="6"/>
      <c r="AD6" s="37"/>
    </row>
    <row r="7" spans="1:30" x14ac:dyDescent="0.25">
      <c r="A7" t="s">
        <v>43</v>
      </c>
      <c r="B7" s="292"/>
      <c r="C7" s="38"/>
      <c r="D7" s="39"/>
      <c r="E7" s="39"/>
      <c r="F7" s="38"/>
      <c r="G7" s="38"/>
      <c r="H7" s="40"/>
      <c r="I7" s="292"/>
      <c r="J7" s="38"/>
      <c r="K7" s="38"/>
      <c r="L7" s="38"/>
      <c r="M7" s="38"/>
      <c r="N7" s="38"/>
      <c r="O7" s="40"/>
      <c r="P7" s="292"/>
      <c r="Q7" s="38"/>
      <c r="R7" s="38"/>
      <c r="S7" s="38"/>
      <c r="T7" s="38"/>
      <c r="U7" s="38"/>
      <c r="V7" s="40"/>
      <c r="W7" s="37"/>
      <c r="X7" s="38"/>
      <c r="Y7" s="38"/>
      <c r="Z7" s="38"/>
      <c r="AA7" s="38"/>
      <c r="AC7" s="6"/>
      <c r="AD7" s="37"/>
    </row>
    <row r="8" spans="1:30" x14ac:dyDescent="0.25">
      <c r="A8" t="s">
        <v>65</v>
      </c>
      <c r="B8" s="37"/>
      <c r="C8" s="38"/>
      <c r="D8" s="38"/>
      <c r="E8" s="38"/>
      <c r="F8" s="38"/>
      <c r="G8" s="38"/>
      <c r="H8" s="40"/>
      <c r="I8" s="37"/>
      <c r="J8" s="38"/>
      <c r="K8" s="38"/>
      <c r="L8" s="38"/>
      <c r="M8" s="38"/>
      <c r="N8" s="38"/>
      <c r="O8" s="40"/>
      <c r="P8" s="37"/>
      <c r="Q8" s="38"/>
      <c r="R8" s="38"/>
      <c r="S8" s="38"/>
      <c r="T8" s="38"/>
      <c r="U8" s="38"/>
      <c r="V8" s="40"/>
      <c r="W8" s="37"/>
      <c r="X8" s="38"/>
      <c r="Y8" s="38"/>
      <c r="Z8" s="38"/>
      <c r="AA8" s="38"/>
      <c r="AC8" s="6"/>
      <c r="AD8" s="37"/>
    </row>
    <row r="9" spans="1:30" x14ac:dyDescent="0.25">
      <c r="A9" t="s">
        <v>66</v>
      </c>
      <c r="B9" s="37"/>
      <c r="C9" s="38"/>
      <c r="D9" s="38"/>
      <c r="E9" s="38"/>
      <c r="F9" s="38"/>
      <c r="G9" s="38"/>
      <c r="H9" s="40"/>
      <c r="I9" s="37"/>
      <c r="J9" s="38"/>
      <c r="K9" s="38"/>
      <c r="L9" s="38"/>
      <c r="M9" s="38"/>
      <c r="N9" s="38"/>
      <c r="O9" s="40"/>
      <c r="P9" s="37"/>
      <c r="Q9" s="38"/>
      <c r="R9" s="38"/>
      <c r="S9" s="38"/>
      <c r="T9" s="38"/>
      <c r="U9" s="38"/>
      <c r="V9" s="40"/>
      <c r="W9" s="37"/>
      <c r="X9" s="38"/>
      <c r="Y9" s="38"/>
      <c r="Z9" s="38"/>
      <c r="AA9" s="38"/>
      <c r="AC9" s="6"/>
      <c r="AD9" s="37"/>
    </row>
    <row r="10" spans="1:30" x14ac:dyDescent="0.25">
      <c r="A10" t="s">
        <v>44</v>
      </c>
      <c r="B10" s="37"/>
      <c r="C10" s="38"/>
      <c r="D10" s="38"/>
      <c r="E10" s="38"/>
      <c r="F10" s="38"/>
      <c r="G10" s="38"/>
      <c r="H10" s="40"/>
      <c r="I10" s="37"/>
      <c r="J10" s="38"/>
      <c r="K10" s="38"/>
      <c r="L10" s="38"/>
      <c r="M10" s="38"/>
      <c r="N10" s="38"/>
      <c r="O10" s="40"/>
      <c r="P10" s="37"/>
      <c r="Q10" s="38"/>
      <c r="R10" s="38"/>
      <c r="S10" s="38"/>
      <c r="T10" s="38"/>
      <c r="U10" s="38"/>
      <c r="V10" s="40"/>
      <c r="W10" s="37"/>
      <c r="X10" s="38"/>
      <c r="Y10" s="38"/>
      <c r="Z10" s="38"/>
      <c r="AA10" s="38"/>
      <c r="AC10" s="6"/>
      <c r="AD10" s="37"/>
    </row>
    <row r="11" spans="1:30" x14ac:dyDescent="0.25">
      <c r="A11" t="s">
        <v>45</v>
      </c>
      <c r="B11" s="37"/>
      <c r="C11" s="38"/>
      <c r="D11" s="38"/>
      <c r="E11" s="38"/>
      <c r="F11" s="38"/>
      <c r="G11" s="38"/>
      <c r="H11" s="40"/>
      <c r="I11" s="37"/>
      <c r="J11" s="38"/>
      <c r="K11" s="38"/>
      <c r="L11" s="38"/>
      <c r="M11" s="38"/>
      <c r="N11" s="38"/>
      <c r="O11" s="40"/>
      <c r="P11" s="37"/>
      <c r="Q11" s="38"/>
      <c r="R11" s="38"/>
      <c r="S11" s="38"/>
      <c r="T11" s="38"/>
      <c r="U11" s="38"/>
      <c r="V11" s="40"/>
      <c r="W11" s="37"/>
      <c r="X11" s="38"/>
      <c r="Y11" s="38"/>
      <c r="Z11" s="38"/>
      <c r="AA11" s="38"/>
      <c r="AC11" s="6"/>
      <c r="AD11" s="37"/>
    </row>
    <row r="12" spans="1:30" x14ac:dyDescent="0.25">
      <c r="A12" t="s">
        <v>46</v>
      </c>
      <c r="B12" s="37"/>
      <c r="C12" s="38"/>
      <c r="D12" s="38"/>
      <c r="E12" s="38"/>
      <c r="F12" s="38"/>
      <c r="G12" s="38"/>
      <c r="H12" s="40"/>
      <c r="I12" s="37"/>
      <c r="J12" s="38"/>
      <c r="K12" s="38"/>
      <c r="L12" s="38"/>
      <c r="M12" s="38"/>
      <c r="N12" s="38"/>
      <c r="O12" s="40"/>
      <c r="P12" s="37"/>
      <c r="Q12" s="38"/>
      <c r="R12" s="38"/>
      <c r="S12" s="38"/>
      <c r="T12" s="38"/>
      <c r="U12" s="38"/>
      <c r="V12" s="40"/>
      <c r="W12" s="37"/>
      <c r="X12" s="38"/>
      <c r="Y12" s="38"/>
      <c r="Z12" s="38"/>
      <c r="AA12" s="38"/>
      <c r="AC12" s="6"/>
      <c r="AD12" s="37"/>
    </row>
    <row r="13" spans="1:30" x14ac:dyDescent="0.25">
      <c r="A13" t="s">
        <v>47</v>
      </c>
      <c r="B13" s="37"/>
      <c r="C13" s="38"/>
      <c r="D13" s="38"/>
      <c r="E13" s="38"/>
      <c r="F13" s="38"/>
      <c r="G13" s="38"/>
      <c r="H13" s="40"/>
      <c r="I13" s="37"/>
      <c r="J13" s="38"/>
      <c r="K13" s="38"/>
      <c r="L13" s="38"/>
      <c r="M13" s="38"/>
      <c r="N13" s="38"/>
      <c r="O13" s="40"/>
      <c r="P13" s="37"/>
      <c r="Q13" s="38"/>
      <c r="R13" s="38"/>
      <c r="S13" s="38"/>
      <c r="T13" s="38"/>
      <c r="U13" s="38"/>
      <c r="V13" s="40"/>
      <c r="W13" s="37"/>
      <c r="X13" s="38"/>
      <c r="Y13" s="38"/>
      <c r="Z13" s="38"/>
      <c r="AA13" s="38"/>
      <c r="AC13" s="6"/>
      <c r="AD13" s="37"/>
    </row>
    <row r="14" spans="1:30" x14ac:dyDescent="0.25">
      <c r="A14" t="s">
        <v>48</v>
      </c>
      <c r="B14" s="37"/>
      <c r="C14" s="38"/>
      <c r="D14" s="38"/>
      <c r="E14" s="38"/>
      <c r="F14" s="38"/>
      <c r="G14" s="38"/>
      <c r="H14" s="40"/>
      <c r="I14" s="37"/>
      <c r="J14" s="38"/>
      <c r="K14" s="38"/>
      <c r="L14" s="38"/>
      <c r="M14" s="38"/>
      <c r="N14" s="38"/>
      <c r="O14" s="40"/>
      <c r="P14" s="37"/>
      <c r="Q14" s="38"/>
      <c r="R14" s="38"/>
      <c r="S14" s="38"/>
      <c r="T14" s="38"/>
      <c r="U14" s="38"/>
      <c r="V14" s="40"/>
      <c r="W14" s="37"/>
      <c r="X14" s="38"/>
      <c r="Y14" s="38"/>
      <c r="Z14" s="38"/>
      <c r="AA14" s="38"/>
      <c r="AC14" s="6"/>
      <c r="AD14" s="37"/>
    </row>
    <row r="15" spans="1:30" x14ac:dyDescent="0.25">
      <c r="A15" t="s">
        <v>49</v>
      </c>
      <c r="B15" s="37"/>
      <c r="C15" s="38"/>
      <c r="D15" s="39"/>
      <c r="E15" s="38"/>
      <c r="F15" s="40"/>
      <c r="G15" s="38"/>
      <c r="H15" s="38"/>
      <c r="I15" s="39"/>
      <c r="J15" s="38"/>
      <c r="K15" s="38"/>
      <c r="L15" s="38"/>
      <c r="M15" s="38"/>
      <c r="N15" s="38"/>
      <c r="O15" s="40"/>
      <c r="P15" s="37"/>
      <c r="Q15" s="38"/>
      <c r="R15" s="38"/>
      <c r="S15" s="38"/>
      <c r="T15" s="38"/>
      <c r="U15" s="38"/>
      <c r="V15" s="40"/>
      <c r="W15" s="37"/>
      <c r="X15" s="38"/>
      <c r="Y15" s="38"/>
      <c r="Z15" s="38"/>
      <c r="AA15" s="38"/>
      <c r="AC15" s="6"/>
      <c r="AD15" s="37"/>
    </row>
    <row r="16" spans="1:30" x14ac:dyDescent="0.25">
      <c r="A16" t="s">
        <v>50</v>
      </c>
      <c r="B16" s="37"/>
      <c r="C16" s="38"/>
      <c r="D16" s="39"/>
      <c r="E16" s="38"/>
      <c r="F16" s="40"/>
      <c r="G16" s="38"/>
      <c r="H16" s="38"/>
      <c r="I16" s="39"/>
      <c r="J16" s="38"/>
      <c r="K16" s="38"/>
      <c r="L16" s="38"/>
      <c r="M16" s="38"/>
      <c r="N16" s="38"/>
      <c r="O16" s="40"/>
      <c r="P16" s="37"/>
      <c r="Q16" s="38"/>
      <c r="R16" s="38"/>
      <c r="S16" s="38"/>
      <c r="T16" s="38"/>
      <c r="U16" s="38"/>
      <c r="V16" s="40"/>
      <c r="W16" s="37"/>
      <c r="X16" s="38"/>
      <c r="Y16" s="38"/>
      <c r="Z16" s="38"/>
      <c r="AA16" s="38"/>
      <c r="AC16" s="6"/>
      <c r="AD16" s="37"/>
    </row>
    <row r="17" spans="1:30" x14ac:dyDescent="0.25">
      <c r="A17" t="s">
        <v>51</v>
      </c>
      <c r="B17" s="37"/>
      <c r="C17" s="38"/>
      <c r="D17" s="38"/>
      <c r="E17" s="38"/>
      <c r="F17" s="38"/>
      <c r="G17" s="38"/>
      <c r="H17" s="40"/>
      <c r="I17" s="37"/>
      <c r="J17" s="38"/>
      <c r="K17" s="38"/>
      <c r="L17" s="38"/>
      <c r="M17" s="38"/>
      <c r="N17" s="38"/>
      <c r="O17" s="40"/>
      <c r="P17" s="37"/>
      <c r="Q17" s="38"/>
      <c r="R17" s="38"/>
      <c r="S17" s="38"/>
      <c r="T17" s="38"/>
      <c r="U17" s="38"/>
      <c r="V17" s="40"/>
      <c r="W17" s="37"/>
      <c r="X17" s="38"/>
      <c r="Y17" s="38"/>
      <c r="Z17" s="38"/>
      <c r="AA17" s="38"/>
      <c r="AC17" s="6"/>
      <c r="AD17" s="37"/>
    </row>
    <row r="18" spans="1:30" x14ac:dyDescent="0.25">
      <c r="A18" t="s">
        <v>52</v>
      </c>
      <c r="B18" s="37"/>
      <c r="C18" s="38"/>
      <c r="D18" s="38"/>
      <c r="E18" s="38"/>
      <c r="F18" s="38"/>
      <c r="G18" s="38"/>
      <c r="H18" s="40"/>
      <c r="I18" s="37"/>
      <c r="J18" s="38"/>
      <c r="K18" s="38"/>
      <c r="L18" s="38"/>
      <c r="M18" s="38"/>
      <c r="N18" s="38"/>
      <c r="O18" s="40"/>
      <c r="P18" s="37"/>
      <c r="Q18" s="38"/>
      <c r="R18" s="38"/>
      <c r="S18" s="38"/>
      <c r="T18" s="38"/>
      <c r="U18" s="38"/>
      <c r="V18" s="40"/>
      <c r="W18" s="37"/>
      <c r="X18" s="38"/>
      <c r="Y18" s="38"/>
      <c r="Z18" s="38"/>
      <c r="AA18" s="38"/>
      <c r="AC18" s="6"/>
      <c r="AD18" s="37"/>
    </row>
    <row r="19" spans="1:30" x14ac:dyDescent="0.25">
      <c r="A19" t="s">
        <v>53</v>
      </c>
      <c r="B19" s="37"/>
      <c r="C19" s="38"/>
      <c r="D19" s="38"/>
      <c r="E19" s="38"/>
      <c r="F19" s="38"/>
      <c r="G19" s="38"/>
      <c r="H19" s="40"/>
      <c r="I19" s="37"/>
      <c r="J19" s="38"/>
      <c r="K19" s="38"/>
      <c r="L19" s="38"/>
      <c r="M19" s="38"/>
      <c r="N19" s="38"/>
      <c r="O19" s="40"/>
      <c r="P19" s="37"/>
      <c r="Q19" s="38"/>
      <c r="R19" s="38"/>
      <c r="S19" s="38"/>
      <c r="T19" s="38"/>
      <c r="U19" s="38"/>
      <c r="V19" s="40"/>
      <c r="W19" s="37"/>
      <c r="X19" s="38"/>
      <c r="Y19" s="38"/>
      <c r="Z19" s="38"/>
      <c r="AA19" s="38"/>
      <c r="AC19" s="6"/>
      <c r="AD19" s="37"/>
    </row>
    <row r="20" spans="1:30" x14ac:dyDescent="0.25">
      <c r="A20" t="s">
        <v>54</v>
      </c>
      <c r="B20" s="37"/>
      <c r="C20" s="38"/>
      <c r="D20" s="38"/>
      <c r="E20" s="38"/>
      <c r="F20" s="38"/>
      <c r="G20" s="38"/>
      <c r="H20" s="40"/>
      <c r="I20" s="37"/>
      <c r="J20" s="38"/>
      <c r="K20" s="38"/>
      <c r="L20" s="38"/>
      <c r="M20" s="38"/>
      <c r="N20" s="38"/>
      <c r="O20" s="40"/>
      <c r="P20" s="37"/>
      <c r="Q20" s="38"/>
      <c r="R20" s="38"/>
      <c r="S20" s="38"/>
      <c r="T20" s="38"/>
      <c r="U20" s="38"/>
      <c r="V20" s="40"/>
      <c r="W20" s="37"/>
      <c r="X20" s="38"/>
      <c r="Y20" s="38"/>
      <c r="Z20" s="38"/>
      <c r="AA20" s="38"/>
      <c r="AC20" s="6"/>
      <c r="AD20" s="37"/>
    </row>
    <row r="21" spans="1:30" x14ac:dyDescent="0.25">
      <c r="A21" t="s">
        <v>55</v>
      </c>
      <c r="B21" s="37"/>
      <c r="C21" s="38"/>
      <c r="D21" s="38"/>
      <c r="E21" s="38"/>
      <c r="F21" s="38"/>
      <c r="G21" s="38"/>
      <c r="H21" s="40"/>
      <c r="I21" s="37"/>
      <c r="J21" s="38"/>
      <c r="K21" s="38"/>
      <c r="L21" s="38"/>
      <c r="M21" s="38"/>
      <c r="N21" s="38"/>
      <c r="O21" s="40"/>
      <c r="P21" s="37"/>
      <c r="Q21" s="38"/>
      <c r="R21" s="38"/>
      <c r="S21" s="38"/>
      <c r="T21" s="38"/>
      <c r="U21" s="38"/>
      <c r="V21" s="40"/>
      <c r="W21" s="37"/>
      <c r="X21" s="38"/>
      <c r="Y21" s="38"/>
      <c r="Z21" s="38"/>
      <c r="AA21" s="38"/>
      <c r="AC21" s="6"/>
      <c r="AD21" s="37"/>
    </row>
    <row r="22" spans="1:30" x14ac:dyDescent="0.25">
      <c r="A22" t="s">
        <v>56</v>
      </c>
      <c r="B22" s="37"/>
      <c r="C22" s="38"/>
      <c r="D22" s="38"/>
      <c r="E22" s="38"/>
      <c r="F22" s="38"/>
      <c r="G22" s="38"/>
      <c r="H22" s="40"/>
      <c r="I22" s="37"/>
      <c r="J22" s="38"/>
      <c r="K22" s="38"/>
      <c r="L22" s="38"/>
      <c r="M22" s="38"/>
      <c r="N22" s="38"/>
      <c r="O22" s="40"/>
      <c r="P22" s="37"/>
      <c r="Q22" s="38"/>
      <c r="R22" s="38"/>
      <c r="S22" s="38"/>
      <c r="T22" s="38"/>
      <c r="U22" s="38"/>
      <c r="V22" s="40"/>
      <c r="W22" s="37"/>
      <c r="X22" s="38"/>
      <c r="Y22" s="38"/>
      <c r="Z22" s="38"/>
      <c r="AA22" s="38"/>
      <c r="AC22" s="6"/>
      <c r="AD22" s="37"/>
    </row>
    <row r="23" spans="1:30" x14ac:dyDescent="0.25">
      <c r="A23" t="s">
        <v>57</v>
      </c>
      <c r="B23" s="37"/>
      <c r="C23" s="38"/>
      <c r="D23" s="38"/>
      <c r="E23" s="38"/>
      <c r="F23" s="38"/>
      <c r="G23" s="38"/>
      <c r="H23" s="40"/>
      <c r="I23" s="37"/>
      <c r="J23" s="38"/>
      <c r="K23" s="38"/>
      <c r="L23" s="38"/>
      <c r="M23" s="38"/>
      <c r="N23" s="38"/>
      <c r="O23" s="40"/>
      <c r="P23" s="37"/>
      <c r="Q23" s="38"/>
      <c r="R23" s="38"/>
      <c r="S23" s="38"/>
      <c r="T23" s="38"/>
      <c r="U23" s="38"/>
      <c r="V23" s="40"/>
      <c r="W23" s="37"/>
      <c r="X23" s="38"/>
      <c r="Y23" s="38"/>
      <c r="Z23" s="38"/>
      <c r="AA23" s="38"/>
      <c r="AC23" s="6"/>
      <c r="AD23" s="37"/>
    </row>
    <row r="24" spans="1:30" x14ac:dyDescent="0.25">
      <c r="A24" t="s">
        <v>58</v>
      </c>
      <c r="B24" s="37"/>
      <c r="C24" s="38"/>
      <c r="D24" s="38"/>
      <c r="E24" s="38"/>
      <c r="F24" s="38"/>
      <c r="G24" s="38"/>
      <c r="H24" s="40"/>
      <c r="I24" s="37"/>
      <c r="J24" s="38"/>
      <c r="K24" s="38"/>
      <c r="L24" s="38"/>
      <c r="M24" s="38"/>
      <c r="N24" s="38"/>
      <c r="O24" s="40"/>
      <c r="P24" s="37"/>
      <c r="Q24" s="38"/>
      <c r="R24" s="38"/>
      <c r="S24" s="38"/>
      <c r="T24" s="38"/>
      <c r="U24" s="38"/>
      <c r="V24" s="40"/>
      <c r="W24" s="37"/>
      <c r="X24" s="38"/>
      <c r="Y24" s="38"/>
      <c r="Z24" s="38"/>
      <c r="AA24" s="38"/>
      <c r="AC24" s="6"/>
      <c r="AD24" s="37"/>
    </row>
    <row r="25" spans="1:30" x14ac:dyDescent="0.25">
      <c r="A25" t="s">
        <v>59</v>
      </c>
      <c r="B25" s="291" t="s">
        <v>101</v>
      </c>
      <c r="C25" s="38"/>
      <c r="D25" s="38"/>
      <c r="E25" s="293" t="s">
        <v>200</v>
      </c>
      <c r="F25" s="38"/>
      <c r="G25" s="38"/>
      <c r="H25" s="40"/>
      <c r="I25" s="37"/>
      <c r="J25" s="38"/>
      <c r="K25" s="38"/>
      <c r="L25" s="38"/>
      <c r="M25" s="38"/>
      <c r="N25" s="38"/>
      <c r="O25" s="40"/>
      <c r="P25" s="37"/>
      <c r="Q25" s="38"/>
      <c r="R25" s="38"/>
      <c r="S25" s="38"/>
      <c r="T25" s="38"/>
      <c r="U25" s="38"/>
      <c r="V25" s="40"/>
      <c r="W25" s="37"/>
      <c r="X25" s="38"/>
      <c r="Y25" s="38"/>
      <c r="Z25" s="38"/>
      <c r="AA25" s="38"/>
      <c r="AC25" s="6"/>
      <c r="AD25" s="37"/>
    </row>
    <row r="26" spans="1:30" ht="15" customHeight="1" x14ac:dyDescent="0.25">
      <c r="A26" t="s">
        <v>60</v>
      </c>
      <c r="B26" s="292"/>
      <c r="C26" s="38"/>
      <c r="D26" s="38"/>
      <c r="E26" s="290"/>
      <c r="F26" s="38"/>
      <c r="G26" s="38"/>
      <c r="H26" s="40"/>
      <c r="I26" s="37"/>
      <c r="J26" s="38"/>
      <c r="K26" s="38"/>
      <c r="L26" s="38"/>
      <c r="M26" s="306" t="s">
        <v>460</v>
      </c>
      <c r="N26" s="38"/>
      <c r="O26" s="40"/>
      <c r="P26" s="37"/>
      <c r="Q26" s="38"/>
      <c r="R26" s="38"/>
      <c r="S26" s="38"/>
      <c r="T26" s="38"/>
      <c r="U26" s="38"/>
      <c r="V26" s="40"/>
      <c r="W26" s="37"/>
      <c r="X26" s="38"/>
      <c r="Y26" s="38"/>
      <c r="Z26" s="38"/>
      <c r="AA26" s="38"/>
      <c r="AC26" s="6"/>
      <c r="AD26" s="37"/>
    </row>
    <row r="27" spans="1:30" ht="15" customHeight="1" x14ac:dyDescent="0.25">
      <c r="A27" t="s">
        <v>61</v>
      </c>
      <c r="B27" s="291" t="s">
        <v>282</v>
      </c>
      <c r="C27" s="38"/>
      <c r="D27" s="38"/>
      <c r="E27" s="293" t="s">
        <v>102</v>
      </c>
      <c r="F27" s="38"/>
      <c r="G27" s="38"/>
      <c r="H27" s="40"/>
      <c r="I27" s="291" t="s">
        <v>282</v>
      </c>
      <c r="J27" s="38"/>
      <c r="K27" s="38"/>
      <c r="L27" s="38"/>
      <c r="M27" s="307"/>
      <c r="N27" s="38"/>
      <c r="O27" s="40"/>
      <c r="P27" s="291" t="s">
        <v>282</v>
      </c>
      <c r="Q27" s="38"/>
      <c r="R27" s="38"/>
      <c r="S27" s="38"/>
      <c r="T27" s="38"/>
      <c r="U27" s="38"/>
      <c r="V27" s="40"/>
      <c r="W27" s="37"/>
      <c r="X27" s="38"/>
      <c r="Y27" s="38"/>
      <c r="Z27" s="38"/>
      <c r="AA27" s="38"/>
      <c r="AC27" s="6"/>
      <c r="AD27" s="37"/>
    </row>
    <row r="28" spans="1:30" x14ac:dyDescent="0.25">
      <c r="A28" t="s">
        <v>62</v>
      </c>
      <c r="B28" s="292"/>
      <c r="C28" s="38"/>
      <c r="D28" s="38"/>
      <c r="E28" s="290"/>
      <c r="F28" s="38"/>
      <c r="G28" s="38"/>
      <c r="H28" s="40"/>
      <c r="I28" s="292"/>
      <c r="J28" s="38"/>
      <c r="K28" s="38"/>
      <c r="L28" s="38"/>
      <c r="M28" s="38"/>
      <c r="N28" s="38"/>
      <c r="O28" s="40"/>
      <c r="P28" s="292"/>
      <c r="Q28" s="38"/>
      <c r="R28" s="38"/>
      <c r="S28" s="38"/>
      <c r="T28" s="38"/>
      <c r="U28" s="38"/>
      <c r="V28" s="40"/>
      <c r="W28" s="37"/>
      <c r="X28" s="38"/>
      <c r="Y28" s="38"/>
      <c r="Z28" s="38"/>
      <c r="AA28" s="38"/>
      <c r="AC28" s="6"/>
      <c r="AD28" s="37"/>
    </row>
    <row r="29" spans="1:30" x14ac:dyDescent="0.25">
      <c r="A29" t="s">
        <v>63</v>
      </c>
      <c r="B29" s="37"/>
      <c r="C29" s="38"/>
      <c r="D29" s="38"/>
      <c r="E29" s="38"/>
      <c r="F29" s="38"/>
      <c r="G29" s="38"/>
      <c r="H29" s="40"/>
      <c r="I29" s="37"/>
      <c r="J29" s="38"/>
      <c r="K29" s="38"/>
      <c r="L29" s="38"/>
      <c r="M29" s="38"/>
      <c r="N29" s="38"/>
      <c r="O29" s="40"/>
      <c r="P29" s="37"/>
      <c r="Q29" s="38"/>
      <c r="R29" s="38"/>
      <c r="S29" s="38"/>
      <c r="T29" s="38"/>
      <c r="U29" s="38"/>
      <c r="V29" s="40"/>
      <c r="W29" s="37"/>
      <c r="X29" s="38"/>
      <c r="Y29" s="38"/>
      <c r="Z29" s="38"/>
      <c r="AA29" s="38"/>
      <c r="AC29" s="6"/>
      <c r="AD29" s="37"/>
    </row>
    <row r="30" spans="1:30" ht="15.75" thickBot="1" x14ac:dyDescent="0.3">
      <c r="A30" s="7" t="s">
        <v>64</v>
      </c>
      <c r="B30" s="42"/>
      <c r="C30" s="43"/>
      <c r="D30" s="43"/>
      <c r="E30" s="43"/>
      <c r="F30" s="43"/>
      <c r="G30" s="43"/>
      <c r="H30" s="44"/>
      <c r="I30" s="42"/>
      <c r="J30" s="43"/>
      <c r="K30" s="43"/>
      <c r="L30" s="43"/>
      <c r="M30" s="43"/>
      <c r="N30" s="43"/>
      <c r="O30" s="44"/>
      <c r="P30" s="42"/>
      <c r="Q30" s="43"/>
      <c r="R30" s="43"/>
      <c r="S30" s="43"/>
      <c r="T30" s="43"/>
      <c r="U30" s="43"/>
      <c r="V30" s="44"/>
      <c r="W30" s="42"/>
      <c r="X30" s="43"/>
      <c r="Y30" s="43"/>
      <c r="Z30" s="43"/>
      <c r="AA30" s="43"/>
      <c r="AB30" s="7"/>
      <c r="AC30" s="19"/>
      <c r="AD30" s="37"/>
    </row>
    <row r="34" spans="1:6" ht="15.75" thickBot="1" x14ac:dyDescent="0.3">
      <c r="A34" s="36" t="s">
        <v>74</v>
      </c>
      <c r="B34" s="16" t="s">
        <v>69</v>
      </c>
      <c r="C34" s="16" t="s">
        <v>75</v>
      </c>
    </row>
    <row r="35" spans="1:6" x14ac:dyDescent="0.25">
      <c r="A35">
        <v>1</v>
      </c>
      <c r="B35" s="3" cm="1">
        <f t="array" ref="B35">SUMPRODUCT(($B$4:$F$30&lt;&gt;"")*SUMIF('Datos - Axis'!$B$3:$B$21,$B$4:$F$30,'Datos - Axis'!$E$3:$E$21))</f>
        <v>96000</v>
      </c>
      <c r="C35" s="1" t="s">
        <v>31</v>
      </c>
      <c r="D35" s="14"/>
      <c r="E35" s="14"/>
      <c r="F35" s="14"/>
    </row>
    <row r="36" spans="1:6" x14ac:dyDescent="0.25">
      <c r="A36">
        <v>2</v>
      </c>
      <c r="B36" s="3" cm="1">
        <f t="array" ref="B36">SUMPRODUCT(($I$4:$M$30&lt;&gt;"")*SUMIF('Datos - Axis'!$B$3:$B$25,$I$4:$M$30,'Datos - Axis'!$E$3:$E$25))</f>
        <v>63000</v>
      </c>
      <c r="C36" s="1" t="s">
        <v>31</v>
      </c>
    </row>
    <row r="37" spans="1:6" x14ac:dyDescent="0.25">
      <c r="A37">
        <v>3</v>
      </c>
      <c r="B37" s="3" cm="1">
        <f t="array" ref="B37">SUMPRODUCT(($P$4:$T$30&lt;&gt;"")*SUMIF('Datos - Axis'!$B$3:$B$25,$P$4:$T$30,'Datos - Axis'!$E$3:$E$25))</f>
        <v>42000</v>
      </c>
      <c r="C37" s="1" t="s">
        <v>31</v>
      </c>
    </row>
    <row r="38" spans="1:6" x14ac:dyDescent="0.25">
      <c r="A38">
        <v>4</v>
      </c>
      <c r="B38" s="3" cm="1">
        <f t="array" ref="B38">SUMPRODUCT(($W$4:$AA$30&lt;&gt;"")*SUMIF('Datos - Axis'!$B$3:$B$25,$W$4:$AA$30,'Datos - Axis'!$E$3:$E$25))</f>
        <v>0</v>
      </c>
      <c r="C38" s="1" t="s">
        <v>32</v>
      </c>
    </row>
    <row r="39" spans="1:6" x14ac:dyDescent="0.25">
      <c r="B39" s="3"/>
      <c r="C39" s="1"/>
    </row>
    <row r="41" spans="1:6" x14ac:dyDescent="0.25">
      <c r="A41" s="11" t="s">
        <v>76</v>
      </c>
      <c r="B41" s="23">
        <f>SUM(B35:B39)</f>
        <v>201000</v>
      </c>
    </row>
  </sheetData>
  <mergeCells count="14">
    <mergeCell ref="P1:V1"/>
    <mergeCell ref="W1:AC1"/>
    <mergeCell ref="B6:B7"/>
    <mergeCell ref="B25:B26"/>
    <mergeCell ref="B27:B28"/>
    <mergeCell ref="E25:E26"/>
    <mergeCell ref="E27:E28"/>
    <mergeCell ref="B1:H1"/>
    <mergeCell ref="I1:O1"/>
    <mergeCell ref="I6:I7"/>
    <mergeCell ref="M26:M27"/>
    <mergeCell ref="I27:I28"/>
    <mergeCell ref="P6:P7"/>
    <mergeCell ref="P27:P28"/>
  </mergeCells>
  <conditionalFormatting sqref="B6">
    <cfRule type="expression" dxfId="28" priority="10">
      <formula>B6&lt;&gt;""</formula>
    </cfRule>
  </conditionalFormatting>
  <conditionalFormatting sqref="B25">
    <cfRule type="expression" dxfId="27" priority="8">
      <formula>B25&lt;&gt;""</formula>
    </cfRule>
  </conditionalFormatting>
  <conditionalFormatting sqref="B27">
    <cfRule type="expression" dxfId="26" priority="9">
      <formula>B27&lt;&gt;""</formula>
    </cfRule>
  </conditionalFormatting>
  <conditionalFormatting sqref="B41">
    <cfRule type="cellIs" dxfId="25" priority="12" operator="greaterThan">
      <formula>0</formula>
    </cfRule>
  </conditionalFormatting>
  <conditionalFormatting sqref="B35:C39">
    <cfRule type="expression" dxfId="24" priority="11">
      <formula>$C35="Si"</formula>
    </cfRule>
  </conditionalFormatting>
  <conditionalFormatting sqref="B4:AD5 C6:H7 J6:O7 B8:AD24 C25:D28 N26:AD26 F27:H28 J28:O28 B29:AD30 Q6:AD7 N27:O27 Q27:AD28">
    <cfRule type="expression" dxfId="23" priority="13">
      <formula>B4&lt;&gt;""</formula>
    </cfRule>
  </conditionalFormatting>
  <conditionalFormatting sqref="E27">
    <cfRule type="expression" dxfId="22" priority="6">
      <formula>E27&lt;&gt;""</formula>
    </cfRule>
  </conditionalFormatting>
  <conditionalFormatting sqref="E25:AD25">
    <cfRule type="expression" dxfId="21" priority="7">
      <formula>E25&lt;&gt;""</formula>
    </cfRule>
  </conditionalFormatting>
  <conditionalFormatting sqref="F26:M26">
    <cfRule type="expression" dxfId="20" priority="4">
      <formula>F26&lt;&gt;""</formula>
    </cfRule>
  </conditionalFormatting>
  <conditionalFormatting sqref="I6">
    <cfRule type="expression" dxfId="19" priority="5">
      <formula>I6&lt;&gt;""</formula>
    </cfRule>
  </conditionalFormatting>
  <conditionalFormatting sqref="I27:L27">
    <cfRule type="expression" dxfId="18" priority="3">
      <formula>I27&lt;&gt;""</formula>
    </cfRule>
  </conditionalFormatting>
  <conditionalFormatting sqref="P6">
    <cfRule type="expression" dxfId="1" priority="2">
      <formula>P6&lt;&gt;""</formula>
    </cfRule>
  </conditionalFormatting>
  <conditionalFormatting sqref="P27">
    <cfRule type="expression" dxfId="0" priority="1">
      <formula>P27&lt;&gt;""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84DCB2-C837-46DE-A7E9-DC0F97D590FC}">
          <x14:formula1>
            <xm:f>'Datos - Axis'!$B$3:$B$23</xm:f>
          </x14:formula1>
          <xm:sqref>B8:B25 M28:M30 B29:B30 D9:D15 D17:D30 I8:I15 D8:E8 D4:D6 E4 E6 F7:F8 F4:F5 G4:H8 I4:I6 E29:E30 C4:C30 B4:B6 B27 F9:H30 E9:E25 E27 J4:L30 I29:I30 M4:M26 I17:I27 N4:O30 Q4:AC30 P4:P6 P8:P27 P29:P30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32A3-EF0E-471E-BB2C-F1AD3BA35617}">
  <sheetPr codeName="Hoja13">
    <tabColor theme="7" tint="0.59999389629810485"/>
  </sheetPr>
  <dimension ref="A1:AH41"/>
  <sheetViews>
    <sheetView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35" sqref="B35:B39"/>
    </sheetView>
  </sheetViews>
  <sheetFormatPr baseColWidth="10" defaultRowHeight="15" x14ac:dyDescent="0.25"/>
  <cols>
    <col min="1" max="1" width="15.5703125" bestFit="1" customWidth="1"/>
    <col min="2" max="2" width="12" bestFit="1" customWidth="1"/>
    <col min="4" max="4" width="13.7109375" bestFit="1" customWidth="1"/>
    <col min="5" max="5" width="14.28515625" bestFit="1" customWidth="1"/>
    <col min="6" max="6" width="17.140625" bestFit="1" customWidth="1"/>
    <col min="7" max="7" width="7.28515625" hidden="1" customWidth="1"/>
    <col min="8" max="8" width="8.85546875" hidden="1" customWidth="1"/>
    <col min="9" max="9" width="13.7109375" bestFit="1" customWidth="1"/>
    <col min="14" max="15" width="11.42578125" hidden="1" customWidth="1"/>
    <col min="21" max="22" width="11.42578125" hidden="1" customWidth="1"/>
    <col min="28" max="29" width="11.42578125" hidden="1" customWidth="1"/>
  </cols>
  <sheetData>
    <row r="1" spans="1:34" x14ac:dyDescent="0.25">
      <c r="B1" s="280" t="s">
        <v>35</v>
      </c>
      <c r="C1" s="281"/>
      <c r="D1" s="281"/>
      <c r="E1" s="281"/>
      <c r="F1" s="281"/>
      <c r="G1" s="281"/>
      <c r="H1" s="282"/>
      <c r="I1" s="280" t="s">
        <v>36</v>
      </c>
      <c r="J1" s="281"/>
      <c r="K1" s="281"/>
      <c r="L1" s="281"/>
      <c r="M1" s="281"/>
      <c r="N1" s="281"/>
      <c r="O1" s="282"/>
      <c r="P1" s="280" t="s">
        <v>37</v>
      </c>
      <c r="Q1" s="281"/>
      <c r="R1" s="281"/>
      <c r="S1" s="281"/>
      <c r="T1" s="281"/>
      <c r="U1" s="281"/>
      <c r="V1" s="282"/>
      <c r="W1" s="280" t="s">
        <v>38</v>
      </c>
      <c r="X1" s="281"/>
      <c r="Y1" s="281"/>
      <c r="Z1" s="281"/>
      <c r="AA1" s="281"/>
      <c r="AB1" s="281"/>
      <c r="AC1" s="282"/>
      <c r="AD1" s="280" t="s">
        <v>39</v>
      </c>
      <c r="AE1" s="281"/>
      <c r="AF1" s="281"/>
      <c r="AG1" s="281"/>
      <c r="AH1" s="282"/>
    </row>
    <row r="2" spans="1:34" x14ac:dyDescent="0.25">
      <c r="B2" s="4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5" t="s">
        <v>27</v>
      </c>
      <c r="I2" s="4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5" t="s">
        <v>27</v>
      </c>
      <c r="P2" s="4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5" t="s">
        <v>27</v>
      </c>
      <c r="W2" s="4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5" t="s">
        <v>27</v>
      </c>
      <c r="AD2" s="4" t="s">
        <v>21</v>
      </c>
      <c r="AE2" s="1" t="s">
        <v>22</v>
      </c>
      <c r="AF2" s="1" t="s">
        <v>23</v>
      </c>
      <c r="AG2" s="1" t="s">
        <v>24</v>
      </c>
      <c r="AH2" s="5" t="s">
        <v>25</v>
      </c>
    </row>
    <row r="3" spans="1:34" ht="15.75" thickBot="1" x14ac:dyDescent="0.3">
      <c r="A3" s="7"/>
      <c r="B3" s="8">
        <v>28</v>
      </c>
      <c r="C3" s="9">
        <v>29</v>
      </c>
      <c r="D3" s="9">
        <v>30</v>
      </c>
      <c r="E3" s="9">
        <v>1</v>
      </c>
      <c r="F3" s="10">
        <v>2</v>
      </c>
      <c r="G3" s="9">
        <v>3</v>
      </c>
      <c r="H3" s="10">
        <v>4</v>
      </c>
      <c r="I3" s="9">
        <v>5</v>
      </c>
      <c r="J3" s="9">
        <v>6</v>
      </c>
      <c r="K3" s="9">
        <v>7</v>
      </c>
      <c r="L3" s="9">
        <v>8</v>
      </c>
      <c r="M3" s="10">
        <v>9</v>
      </c>
      <c r="N3" s="9">
        <v>10</v>
      </c>
      <c r="O3" s="10">
        <v>11</v>
      </c>
      <c r="P3" s="9">
        <v>12</v>
      </c>
      <c r="Q3" s="9">
        <v>13</v>
      </c>
      <c r="R3" s="9">
        <v>14</v>
      </c>
      <c r="S3" s="9">
        <v>15</v>
      </c>
      <c r="T3" s="10">
        <v>16</v>
      </c>
      <c r="U3" s="9">
        <v>17</v>
      </c>
      <c r="V3" s="10">
        <v>18</v>
      </c>
      <c r="W3" s="9">
        <v>19</v>
      </c>
      <c r="X3" s="9">
        <v>20</v>
      </c>
      <c r="Y3" s="9">
        <v>21</v>
      </c>
      <c r="Z3" s="9">
        <v>22</v>
      </c>
      <c r="AA3" s="9">
        <v>23</v>
      </c>
      <c r="AB3" s="9">
        <v>24</v>
      </c>
      <c r="AC3" s="10">
        <v>25</v>
      </c>
      <c r="AD3" s="8">
        <v>26</v>
      </c>
      <c r="AE3" s="9">
        <v>27</v>
      </c>
      <c r="AF3" s="9">
        <v>28</v>
      </c>
      <c r="AG3" s="9">
        <v>29</v>
      </c>
      <c r="AH3" s="10">
        <v>30</v>
      </c>
    </row>
    <row r="4" spans="1:34" x14ac:dyDescent="0.25">
      <c r="A4" t="s">
        <v>40</v>
      </c>
      <c r="B4" s="37"/>
      <c r="C4" s="38"/>
      <c r="D4" s="38"/>
      <c r="E4" s="39"/>
      <c r="F4" s="38"/>
      <c r="G4" s="38"/>
      <c r="H4" s="40"/>
      <c r="I4" s="37"/>
      <c r="J4" s="38"/>
      <c r="K4" s="38"/>
      <c r="L4" s="38"/>
      <c r="M4" s="38"/>
      <c r="N4" s="38"/>
      <c r="O4" s="40"/>
      <c r="P4" s="37"/>
      <c r="Q4" s="38"/>
      <c r="R4" s="38"/>
      <c r="S4" s="38"/>
      <c r="T4" s="38"/>
      <c r="U4" s="38"/>
      <c r="V4" s="40"/>
      <c r="W4" s="37"/>
      <c r="X4" s="38"/>
      <c r="Y4" s="38"/>
      <c r="Z4" s="38"/>
      <c r="AA4" s="38"/>
      <c r="AB4" s="38"/>
      <c r="AC4" s="40"/>
      <c r="AD4" s="37"/>
      <c r="AE4" s="38"/>
      <c r="AF4" s="38"/>
      <c r="AG4" s="38"/>
      <c r="AH4" s="40"/>
    </row>
    <row r="5" spans="1:34" x14ac:dyDescent="0.25">
      <c r="A5" t="s">
        <v>41</v>
      </c>
      <c r="B5" s="37"/>
      <c r="C5" s="38"/>
      <c r="D5" s="38"/>
      <c r="E5" s="39"/>
      <c r="F5" s="39"/>
      <c r="G5" s="38"/>
      <c r="H5" s="40"/>
      <c r="I5" s="37"/>
      <c r="J5" s="38"/>
      <c r="K5" s="38"/>
      <c r="L5" s="38"/>
      <c r="M5" s="38"/>
      <c r="N5" s="38"/>
      <c r="O5" s="40"/>
      <c r="P5" s="37"/>
      <c r="Q5" s="38"/>
      <c r="R5" s="38"/>
      <c r="S5" s="38"/>
      <c r="T5" s="38"/>
      <c r="U5" s="38"/>
      <c r="V5" s="40"/>
      <c r="W5" s="37"/>
      <c r="X5" s="38"/>
      <c r="Y5" s="38"/>
      <c r="Z5" s="38"/>
      <c r="AA5" s="38"/>
      <c r="AB5" s="38"/>
      <c r="AC5" s="40"/>
      <c r="AD5" s="37"/>
      <c r="AE5" s="38"/>
      <c r="AF5" s="38"/>
      <c r="AG5" s="38"/>
      <c r="AH5" s="40"/>
    </row>
    <row r="6" spans="1:34" x14ac:dyDescent="0.25">
      <c r="A6" t="s">
        <v>42</v>
      </c>
      <c r="B6" s="37"/>
      <c r="C6" s="38"/>
      <c r="D6" s="39"/>
      <c r="E6" s="39"/>
      <c r="F6" s="39"/>
      <c r="G6" s="38"/>
      <c r="H6" s="40"/>
      <c r="I6" s="41"/>
      <c r="J6" s="38"/>
      <c r="K6" s="38"/>
      <c r="L6" s="38"/>
      <c r="M6" s="38"/>
      <c r="N6" s="38"/>
      <c r="O6" s="40"/>
      <c r="P6" s="37"/>
      <c r="Q6" s="38"/>
      <c r="R6" s="38"/>
      <c r="S6" s="38"/>
      <c r="T6" s="38"/>
      <c r="U6" s="38"/>
      <c r="V6" s="40"/>
      <c r="W6" s="37"/>
      <c r="X6" s="38"/>
      <c r="Y6" s="38"/>
      <c r="Z6" s="38"/>
      <c r="AA6" s="38"/>
      <c r="AB6" s="38"/>
      <c r="AC6" s="40"/>
      <c r="AD6" s="37"/>
      <c r="AE6" s="38"/>
      <c r="AF6" s="38"/>
      <c r="AG6" s="38"/>
      <c r="AH6" s="40"/>
    </row>
    <row r="7" spans="1:34" x14ac:dyDescent="0.25">
      <c r="A7" t="s">
        <v>43</v>
      </c>
      <c r="B7" s="37"/>
      <c r="C7" s="38"/>
      <c r="D7" s="39"/>
      <c r="E7" s="39"/>
      <c r="F7" s="38"/>
      <c r="G7" s="38"/>
      <c r="H7" s="40"/>
      <c r="I7" s="41"/>
      <c r="J7" s="38"/>
      <c r="K7" s="38"/>
      <c r="L7" s="38"/>
      <c r="M7" s="38"/>
      <c r="N7" s="38"/>
      <c r="O7" s="40"/>
      <c r="P7" s="37"/>
      <c r="Q7" s="38"/>
      <c r="R7" s="38"/>
      <c r="S7" s="38"/>
      <c r="T7" s="38"/>
      <c r="U7" s="38"/>
      <c r="V7" s="40"/>
      <c r="W7" s="37"/>
      <c r="X7" s="38"/>
      <c r="Y7" s="38"/>
      <c r="Z7" s="38"/>
      <c r="AA7" s="38"/>
      <c r="AB7" s="38"/>
      <c r="AC7" s="40"/>
      <c r="AD7" s="37"/>
      <c r="AE7" s="38"/>
      <c r="AF7" s="38"/>
      <c r="AG7" s="38"/>
      <c r="AH7" s="40"/>
    </row>
    <row r="8" spans="1:34" x14ac:dyDescent="0.25">
      <c r="A8" t="s">
        <v>65</v>
      </c>
      <c r="B8" s="37"/>
      <c r="C8" s="38"/>
      <c r="D8" s="38"/>
      <c r="E8" s="38"/>
      <c r="F8" s="38"/>
      <c r="G8" s="38"/>
      <c r="H8" s="40"/>
      <c r="I8" s="37"/>
      <c r="J8" s="38"/>
      <c r="K8" s="38"/>
      <c r="L8" s="38"/>
      <c r="M8" s="38"/>
      <c r="N8" s="38"/>
      <c r="O8" s="40"/>
      <c r="P8" s="37"/>
      <c r="Q8" s="38"/>
      <c r="R8" s="38"/>
      <c r="S8" s="38"/>
      <c r="T8" s="38"/>
      <c r="U8" s="38"/>
      <c r="V8" s="40"/>
      <c r="W8" s="37"/>
      <c r="X8" s="38"/>
      <c r="Y8" s="38"/>
      <c r="Z8" s="38"/>
      <c r="AA8" s="38"/>
      <c r="AB8" s="38"/>
      <c r="AC8" s="40"/>
      <c r="AD8" s="37"/>
      <c r="AE8" s="38"/>
      <c r="AF8" s="38"/>
      <c r="AG8" s="38"/>
      <c r="AH8" s="40"/>
    </row>
    <row r="9" spans="1:34" x14ac:dyDescent="0.25">
      <c r="A9" t="s">
        <v>66</v>
      </c>
      <c r="B9" s="37"/>
      <c r="C9" s="38"/>
      <c r="D9" s="38"/>
      <c r="E9" s="38"/>
      <c r="F9" s="38"/>
      <c r="G9" s="38"/>
      <c r="H9" s="40"/>
      <c r="I9" s="37"/>
      <c r="J9" s="38"/>
      <c r="K9" s="38"/>
      <c r="L9" s="38"/>
      <c r="M9" s="38"/>
      <c r="N9" s="38"/>
      <c r="O9" s="40"/>
      <c r="P9" s="37"/>
      <c r="Q9" s="38"/>
      <c r="R9" s="38"/>
      <c r="S9" s="38"/>
      <c r="T9" s="38"/>
      <c r="U9" s="38"/>
      <c r="V9" s="40"/>
      <c r="W9" s="37"/>
      <c r="X9" s="38"/>
      <c r="Y9" s="38"/>
      <c r="Z9" s="38"/>
      <c r="AA9" s="38"/>
      <c r="AB9" s="38"/>
      <c r="AC9" s="40"/>
      <c r="AD9" s="37"/>
      <c r="AE9" s="38"/>
      <c r="AF9" s="38"/>
      <c r="AG9" s="38"/>
      <c r="AH9" s="40"/>
    </row>
    <row r="10" spans="1:34" x14ac:dyDescent="0.25">
      <c r="A10" t="s">
        <v>44</v>
      </c>
      <c r="B10" s="37"/>
      <c r="C10" s="38"/>
      <c r="D10" s="38"/>
      <c r="E10" s="38"/>
      <c r="F10" s="38"/>
      <c r="G10" s="38"/>
      <c r="H10" s="40"/>
      <c r="I10" s="37"/>
      <c r="J10" s="38"/>
      <c r="K10" s="38"/>
      <c r="L10" s="38"/>
      <c r="M10" s="38"/>
      <c r="N10" s="38"/>
      <c r="O10" s="40"/>
      <c r="P10" s="37"/>
      <c r="Q10" s="38"/>
      <c r="R10" s="38"/>
      <c r="S10" s="38"/>
      <c r="T10" s="38"/>
      <c r="U10" s="38"/>
      <c r="V10" s="40"/>
      <c r="W10" s="37"/>
      <c r="X10" s="38"/>
      <c r="Y10" s="38"/>
      <c r="Z10" s="38"/>
      <c r="AA10" s="38"/>
      <c r="AB10" s="38"/>
      <c r="AC10" s="40"/>
      <c r="AD10" s="37"/>
      <c r="AE10" s="38"/>
      <c r="AF10" s="38"/>
      <c r="AG10" s="38"/>
      <c r="AH10" s="40"/>
    </row>
    <row r="11" spans="1:34" x14ac:dyDescent="0.25">
      <c r="A11" t="s">
        <v>45</v>
      </c>
      <c r="B11" s="37"/>
      <c r="C11" s="38"/>
      <c r="D11" s="38"/>
      <c r="E11" s="38"/>
      <c r="F11" s="38"/>
      <c r="G11" s="38"/>
      <c r="H11" s="40"/>
      <c r="I11" s="37"/>
      <c r="J11" s="38"/>
      <c r="K11" s="38"/>
      <c r="L11" s="38"/>
      <c r="M11" s="38"/>
      <c r="N11" s="38"/>
      <c r="O11" s="40"/>
      <c r="P11" s="37"/>
      <c r="Q11" s="38"/>
      <c r="R11" s="38"/>
      <c r="S11" s="38"/>
      <c r="T11" s="38"/>
      <c r="U11" s="38"/>
      <c r="V11" s="40"/>
      <c r="W11" s="37"/>
      <c r="X11" s="38"/>
      <c r="Y11" s="38"/>
      <c r="Z11" s="38"/>
      <c r="AA11" s="38"/>
      <c r="AB11" s="38"/>
      <c r="AC11" s="40"/>
      <c r="AD11" s="37"/>
      <c r="AE11" s="38"/>
      <c r="AF11" s="38"/>
      <c r="AG11" s="38"/>
      <c r="AH11" s="40"/>
    </row>
    <row r="12" spans="1:34" x14ac:dyDescent="0.25">
      <c r="A12" t="s">
        <v>46</v>
      </c>
      <c r="B12" s="37"/>
      <c r="C12" s="38"/>
      <c r="D12" s="38"/>
      <c r="E12" s="38"/>
      <c r="F12" s="38"/>
      <c r="G12" s="38"/>
      <c r="H12" s="40"/>
      <c r="I12" s="37"/>
      <c r="J12" s="38"/>
      <c r="K12" s="38"/>
      <c r="L12" s="38"/>
      <c r="M12" s="38"/>
      <c r="N12" s="38"/>
      <c r="O12" s="40"/>
      <c r="P12" s="37"/>
      <c r="Q12" s="38"/>
      <c r="R12" s="38"/>
      <c r="S12" s="38"/>
      <c r="T12" s="38"/>
      <c r="U12" s="38"/>
      <c r="V12" s="40"/>
      <c r="W12" s="37"/>
      <c r="X12" s="38"/>
      <c r="Y12" s="38"/>
      <c r="Z12" s="38"/>
      <c r="AA12" s="38"/>
      <c r="AB12" s="38"/>
      <c r="AC12" s="40"/>
      <c r="AD12" s="37"/>
      <c r="AE12" s="38"/>
      <c r="AF12" s="38"/>
      <c r="AG12" s="38"/>
      <c r="AH12" s="40"/>
    </row>
    <row r="13" spans="1:34" x14ac:dyDescent="0.25">
      <c r="A13" t="s">
        <v>47</v>
      </c>
      <c r="B13" s="37"/>
      <c r="C13" s="38"/>
      <c r="D13" s="38"/>
      <c r="E13" s="38"/>
      <c r="F13" s="38"/>
      <c r="G13" s="38"/>
      <c r="H13" s="40"/>
      <c r="I13" s="37"/>
      <c r="J13" s="38"/>
      <c r="K13" s="38"/>
      <c r="L13" s="38"/>
      <c r="M13" s="38"/>
      <c r="N13" s="38"/>
      <c r="O13" s="40"/>
      <c r="P13" s="37"/>
      <c r="Q13" s="38"/>
      <c r="R13" s="38"/>
      <c r="S13" s="38"/>
      <c r="T13" s="38"/>
      <c r="U13" s="38"/>
      <c r="V13" s="40"/>
      <c r="W13" s="37"/>
      <c r="X13" s="38"/>
      <c r="Y13" s="38"/>
      <c r="Z13" s="38"/>
      <c r="AA13" s="38"/>
      <c r="AB13" s="38"/>
      <c r="AC13" s="40"/>
      <c r="AD13" s="37"/>
      <c r="AE13" s="38"/>
      <c r="AF13" s="38"/>
      <c r="AG13" s="38"/>
      <c r="AH13" s="40"/>
    </row>
    <row r="14" spans="1:34" x14ac:dyDescent="0.25">
      <c r="A14" t="s">
        <v>48</v>
      </c>
      <c r="B14" s="37"/>
      <c r="C14" s="38"/>
      <c r="D14" s="38"/>
      <c r="E14" s="38"/>
      <c r="F14" s="38"/>
      <c r="G14" s="38"/>
      <c r="H14" s="40"/>
      <c r="I14" s="37"/>
      <c r="J14" s="38"/>
      <c r="K14" s="38"/>
      <c r="L14" s="38"/>
      <c r="M14" s="38"/>
      <c r="N14" s="38"/>
      <c r="O14" s="40"/>
      <c r="P14" s="37"/>
      <c r="Q14" s="38"/>
      <c r="R14" s="38"/>
      <c r="S14" s="38"/>
      <c r="T14" s="38"/>
      <c r="U14" s="38"/>
      <c r="V14" s="40"/>
      <c r="W14" s="37"/>
      <c r="X14" s="38"/>
      <c r="Y14" s="38"/>
      <c r="Z14" s="38"/>
      <c r="AA14" s="38"/>
      <c r="AB14" s="38"/>
      <c r="AC14" s="40"/>
      <c r="AD14" s="37"/>
      <c r="AE14" s="38"/>
      <c r="AF14" s="38"/>
      <c r="AG14" s="38"/>
      <c r="AH14" s="40"/>
    </row>
    <row r="15" spans="1:34" x14ac:dyDescent="0.25">
      <c r="A15" t="s">
        <v>49</v>
      </c>
      <c r="B15" s="37"/>
      <c r="C15" s="38"/>
      <c r="D15" s="39"/>
      <c r="E15" s="38"/>
      <c r="F15" s="40"/>
      <c r="G15" s="38"/>
      <c r="H15" s="38"/>
      <c r="I15" s="39"/>
      <c r="J15" s="38"/>
      <c r="K15" s="38"/>
      <c r="L15" s="38"/>
      <c r="M15" s="38"/>
      <c r="N15" s="38"/>
      <c r="O15" s="40"/>
      <c r="P15" s="37"/>
      <c r="Q15" s="38"/>
      <c r="R15" s="38"/>
      <c r="S15" s="38"/>
      <c r="T15" s="38"/>
      <c r="U15" s="38"/>
      <c r="V15" s="40"/>
      <c r="W15" s="37"/>
      <c r="X15" s="38"/>
      <c r="Y15" s="38"/>
      <c r="Z15" s="38"/>
      <c r="AA15" s="38"/>
      <c r="AB15" s="38"/>
      <c r="AC15" s="40"/>
      <c r="AD15" s="37"/>
      <c r="AE15" s="38"/>
      <c r="AF15" s="38"/>
      <c r="AG15" s="38"/>
      <c r="AH15" s="40"/>
    </row>
    <row r="16" spans="1:34" x14ac:dyDescent="0.25">
      <c r="A16" t="s">
        <v>50</v>
      </c>
      <c r="B16" s="37"/>
      <c r="C16" s="38"/>
      <c r="D16" s="39"/>
      <c r="E16" s="38"/>
      <c r="F16" s="40"/>
      <c r="G16" s="38"/>
      <c r="H16" s="38"/>
      <c r="I16" s="39"/>
      <c r="J16" s="38"/>
      <c r="K16" s="38"/>
      <c r="L16" s="38"/>
      <c r="M16" s="38"/>
      <c r="N16" s="38"/>
      <c r="O16" s="40"/>
      <c r="P16" s="37"/>
      <c r="Q16" s="38"/>
      <c r="R16" s="38"/>
      <c r="S16" s="38"/>
      <c r="T16" s="38"/>
      <c r="U16" s="38"/>
      <c r="V16" s="40"/>
      <c r="W16" s="37"/>
      <c r="X16" s="38"/>
      <c r="Y16" s="38"/>
      <c r="Z16" s="38"/>
      <c r="AA16" s="38"/>
      <c r="AB16" s="38"/>
      <c r="AC16" s="40"/>
      <c r="AD16" s="37"/>
      <c r="AE16" s="38"/>
      <c r="AF16" s="38"/>
      <c r="AG16" s="38"/>
      <c r="AH16" s="40"/>
    </row>
    <row r="17" spans="1:34" x14ac:dyDescent="0.25">
      <c r="A17" t="s">
        <v>51</v>
      </c>
      <c r="B17" s="37"/>
      <c r="C17" s="38"/>
      <c r="D17" s="38"/>
      <c r="E17" s="38"/>
      <c r="F17" s="38"/>
      <c r="G17" s="38"/>
      <c r="H17" s="40"/>
      <c r="I17" s="37"/>
      <c r="J17" s="38"/>
      <c r="K17" s="38"/>
      <c r="L17" s="38"/>
      <c r="M17" s="38"/>
      <c r="N17" s="38"/>
      <c r="O17" s="40"/>
      <c r="P17" s="37"/>
      <c r="Q17" s="38"/>
      <c r="R17" s="38"/>
      <c r="S17" s="38"/>
      <c r="T17" s="38"/>
      <c r="U17" s="38"/>
      <c r="V17" s="40"/>
      <c r="W17" s="37"/>
      <c r="X17" s="38"/>
      <c r="Y17" s="38"/>
      <c r="Z17" s="38"/>
      <c r="AA17" s="38"/>
      <c r="AB17" s="38"/>
      <c r="AC17" s="40"/>
      <c r="AD17" s="37"/>
      <c r="AE17" s="38"/>
      <c r="AF17" s="38"/>
      <c r="AG17" s="38"/>
      <c r="AH17" s="40"/>
    </row>
    <row r="18" spans="1:34" x14ac:dyDescent="0.25">
      <c r="A18" t="s">
        <v>52</v>
      </c>
      <c r="B18" s="37"/>
      <c r="C18" s="38"/>
      <c r="D18" s="38"/>
      <c r="E18" s="38"/>
      <c r="F18" s="38"/>
      <c r="G18" s="38"/>
      <c r="H18" s="40"/>
      <c r="I18" s="37"/>
      <c r="J18" s="38"/>
      <c r="K18" s="38"/>
      <c r="L18" s="38"/>
      <c r="M18" s="38"/>
      <c r="N18" s="38"/>
      <c r="O18" s="40"/>
      <c r="P18" s="37"/>
      <c r="Q18" s="38"/>
      <c r="R18" s="38"/>
      <c r="S18" s="38"/>
      <c r="T18" s="38"/>
      <c r="U18" s="38"/>
      <c r="V18" s="40"/>
      <c r="W18" s="37"/>
      <c r="X18" s="38"/>
      <c r="Y18" s="38"/>
      <c r="Z18" s="38"/>
      <c r="AA18" s="38"/>
      <c r="AB18" s="38"/>
      <c r="AC18" s="40"/>
      <c r="AD18" s="37"/>
      <c r="AE18" s="38"/>
      <c r="AF18" s="38"/>
      <c r="AG18" s="38"/>
      <c r="AH18" s="40"/>
    </row>
    <row r="19" spans="1:34" x14ac:dyDescent="0.25">
      <c r="A19" t="s">
        <v>53</v>
      </c>
      <c r="B19" s="37"/>
      <c r="C19" s="38"/>
      <c r="D19" s="38"/>
      <c r="E19" s="38"/>
      <c r="F19" s="38"/>
      <c r="G19" s="38"/>
      <c r="H19" s="40"/>
      <c r="I19" s="37"/>
      <c r="J19" s="38"/>
      <c r="K19" s="38"/>
      <c r="L19" s="38"/>
      <c r="M19" s="38"/>
      <c r="N19" s="38"/>
      <c r="O19" s="40"/>
      <c r="P19" s="37"/>
      <c r="Q19" s="38"/>
      <c r="R19" s="38"/>
      <c r="S19" s="38"/>
      <c r="T19" s="38"/>
      <c r="U19" s="38"/>
      <c r="V19" s="40"/>
      <c r="W19" s="37"/>
      <c r="X19" s="38"/>
      <c r="Y19" s="38"/>
      <c r="Z19" s="38"/>
      <c r="AA19" s="38"/>
      <c r="AB19" s="38"/>
      <c r="AC19" s="40"/>
      <c r="AD19" s="37"/>
      <c r="AE19" s="38"/>
      <c r="AF19" s="38"/>
      <c r="AG19" s="38"/>
      <c r="AH19" s="40"/>
    </row>
    <row r="20" spans="1:34" x14ac:dyDescent="0.25">
      <c r="A20" t="s">
        <v>54</v>
      </c>
      <c r="B20" s="37"/>
      <c r="C20" s="38"/>
      <c r="D20" s="38"/>
      <c r="E20" s="38"/>
      <c r="F20" s="38"/>
      <c r="G20" s="38"/>
      <c r="H20" s="40"/>
      <c r="I20" s="37"/>
      <c r="J20" s="38"/>
      <c r="K20" s="38"/>
      <c r="L20" s="38"/>
      <c r="M20" s="38"/>
      <c r="N20" s="38"/>
      <c r="O20" s="40"/>
      <c r="P20" s="37"/>
      <c r="Q20" s="38"/>
      <c r="R20" s="38"/>
      <c r="S20" s="38"/>
      <c r="T20" s="38"/>
      <c r="U20" s="38"/>
      <c r="V20" s="40"/>
      <c r="W20" s="37"/>
      <c r="X20" s="38"/>
      <c r="Y20" s="38"/>
      <c r="Z20" s="38"/>
      <c r="AA20" s="38"/>
      <c r="AB20" s="38"/>
      <c r="AC20" s="40"/>
      <c r="AD20" s="37"/>
      <c r="AE20" s="38"/>
      <c r="AF20" s="38"/>
      <c r="AG20" s="38"/>
      <c r="AH20" s="40"/>
    </row>
    <row r="21" spans="1:34" x14ac:dyDescent="0.25">
      <c r="A21" t="s">
        <v>55</v>
      </c>
      <c r="B21" s="37"/>
      <c r="C21" s="38"/>
      <c r="D21" s="38"/>
      <c r="E21" s="38"/>
      <c r="F21" s="38"/>
      <c r="G21" s="38"/>
      <c r="H21" s="40"/>
      <c r="I21" s="37"/>
      <c r="J21" s="38"/>
      <c r="K21" s="38"/>
      <c r="L21" s="38"/>
      <c r="M21" s="38"/>
      <c r="N21" s="38"/>
      <c r="O21" s="40"/>
      <c r="P21" s="37"/>
      <c r="Q21" s="38"/>
      <c r="R21" s="38"/>
      <c r="S21" s="38"/>
      <c r="T21" s="38"/>
      <c r="U21" s="38"/>
      <c r="V21" s="40"/>
      <c r="W21" s="37"/>
      <c r="X21" s="38"/>
      <c r="Y21" s="38"/>
      <c r="Z21" s="38"/>
      <c r="AA21" s="38"/>
      <c r="AB21" s="38"/>
      <c r="AC21" s="40"/>
      <c r="AD21" s="37"/>
      <c r="AE21" s="38"/>
      <c r="AF21" s="38"/>
      <c r="AG21" s="38"/>
      <c r="AH21" s="40"/>
    </row>
    <row r="22" spans="1:34" x14ac:dyDescent="0.25">
      <c r="A22" t="s">
        <v>56</v>
      </c>
      <c r="B22" s="37"/>
      <c r="C22" s="38"/>
      <c r="D22" s="38"/>
      <c r="E22" s="38"/>
      <c r="F22" s="38"/>
      <c r="G22" s="38"/>
      <c r="H22" s="40"/>
      <c r="I22" s="37"/>
      <c r="J22" s="38"/>
      <c r="K22" s="38"/>
      <c r="L22" s="38"/>
      <c r="M22" s="38"/>
      <c r="N22" s="38"/>
      <c r="O22" s="40"/>
      <c r="P22" s="37"/>
      <c r="Q22" s="38"/>
      <c r="R22" s="38"/>
      <c r="S22" s="38"/>
      <c r="T22" s="38"/>
      <c r="U22" s="38"/>
      <c r="V22" s="40"/>
      <c r="W22" s="37"/>
      <c r="X22" s="38"/>
      <c r="Y22" s="38"/>
      <c r="Z22" s="38"/>
      <c r="AA22" s="38"/>
      <c r="AB22" s="38"/>
      <c r="AC22" s="40"/>
      <c r="AD22" s="37"/>
      <c r="AE22" s="38"/>
      <c r="AF22" s="38"/>
      <c r="AG22" s="38"/>
      <c r="AH22" s="40"/>
    </row>
    <row r="23" spans="1:34" x14ac:dyDescent="0.25">
      <c r="A23" t="s">
        <v>57</v>
      </c>
      <c r="B23" s="37"/>
      <c r="C23" s="38"/>
      <c r="D23" s="38"/>
      <c r="E23" s="38"/>
      <c r="F23" s="38"/>
      <c r="G23" s="38"/>
      <c r="H23" s="40"/>
      <c r="I23" s="37"/>
      <c r="J23" s="38"/>
      <c r="K23" s="38"/>
      <c r="L23" s="38"/>
      <c r="M23" s="38"/>
      <c r="N23" s="38"/>
      <c r="O23" s="40"/>
      <c r="P23" s="37"/>
      <c r="Q23" s="38"/>
      <c r="R23" s="38"/>
      <c r="S23" s="38"/>
      <c r="T23" s="38"/>
      <c r="U23" s="38"/>
      <c r="V23" s="40"/>
      <c r="W23" s="37"/>
      <c r="X23" s="38"/>
      <c r="Y23" s="38"/>
      <c r="Z23" s="38"/>
      <c r="AA23" s="38"/>
      <c r="AB23" s="38"/>
      <c r="AC23" s="40"/>
      <c r="AD23" s="37"/>
      <c r="AE23" s="38"/>
      <c r="AF23" s="38"/>
      <c r="AG23" s="38"/>
      <c r="AH23" s="40"/>
    </row>
    <row r="24" spans="1:34" x14ac:dyDescent="0.25">
      <c r="A24" t="s">
        <v>58</v>
      </c>
      <c r="B24" s="37"/>
      <c r="C24" s="38"/>
      <c r="D24" s="38"/>
      <c r="E24" s="38"/>
      <c r="F24" s="38"/>
      <c r="G24" s="38"/>
      <c r="H24" s="40"/>
      <c r="I24" s="37"/>
      <c r="J24" s="38"/>
      <c r="K24" s="38"/>
      <c r="L24" s="38"/>
      <c r="M24" s="38"/>
      <c r="N24" s="38"/>
      <c r="O24" s="40"/>
      <c r="P24" s="37"/>
      <c r="Q24" s="38"/>
      <c r="R24" s="38"/>
      <c r="S24" s="38"/>
      <c r="T24" s="38"/>
      <c r="U24" s="38"/>
      <c r="V24" s="40"/>
      <c r="W24" s="37"/>
      <c r="X24" s="38"/>
      <c r="Y24" s="38"/>
      <c r="Z24" s="38"/>
      <c r="AA24" s="38"/>
      <c r="AB24" s="38"/>
      <c r="AC24" s="40"/>
      <c r="AD24" s="37"/>
      <c r="AE24" s="38"/>
      <c r="AF24" s="38"/>
      <c r="AG24" s="38"/>
      <c r="AH24" s="40"/>
    </row>
    <row r="25" spans="1:34" x14ac:dyDescent="0.25">
      <c r="A25" t="s">
        <v>59</v>
      </c>
      <c r="B25" s="41"/>
      <c r="C25" s="38"/>
      <c r="D25" s="38"/>
      <c r="E25" s="38"/>
      <c r="F25" s="38"/>
      <c r="G25" s="38"/>
      <c r="H25" s="40"/>
      <c r="I25" s="37"/>
      <c r="J25" s="38"/>
      <c r="K25" s="38"/>
      <c r="L25" s="38"/>
      <c r="M25" s="38"/>
      <c r="N25" s="38"/>
      <c r="O25" s="40"/>
      <c r="P25" s="37"/>
      <c r="Q25" s="38"/>
      <c r="R25" s="38"/>
      <c r="S25" s="38"/>
      <c r="T25" s="38"/>
      <c r="U25" s="38"/>
      <c r="V25" s="40"/>
      <c r="W25" s="37"/>
      <c r="X25" s="38"/>
      <c r="Y25" s="38"/>
      <c r="Z25" s="38"/>
      <c r="AA25" s="38"/>
      <c r="AB25" s="38"/>
      <c r="AC25" s="40"/>
      <c r="AD25" s="37"/>
      <c r="AE25" s="38"/>
      <c r="AF25" s="38"/>
      <c r="AG25" s="38"/>
      <c r="AH25" s="40"/>
    </row>
    <row r="26" spans="1:34" x14ac:dyDescent="0.25">
      <c r="A26" t="s">
        <v>60</v>
      </c>
      <c r="B26" s="41"/>
      <c r="C26" s="38"/>
      <c r="D26" s="38"/>
      <c r="E26" s="38"/>
      <c r="F26" s="38"/>
      <c r="G26" s="38"/>
      <c r="H26" s="40"/>
      <c r="I26" s="37"/>
      <c r="J26" s="38"/>
      <c r="K26" s="38"/>
      <c r="L26" s="38"/>
      <c r="M26" s="38"/>
      <c r="N26" s="38"/>
      <c r="O26" s="40"/>
      <c r="P26" s="37"/>
      <c r="Q26" s="38"/>
      <c r="R26" s="38"/>
      <c r="S26" s="38"/>
      <c r="T26" s="38"/>
      <c r="U26" s="38"/>
      <c r="V26" s="40"/>
      <c r="W26" s="37"/>
      <c r="X26" s="38"/>
      <c r="Y26" s="38"/>
      <c r="Z26" s="38"/>
      <c r="AA26" s="38"/>
      <c r="AB26" s="38"/>
      <c r="AC26" s="40"/>
      <c r="AD26" s="37"/>
      <c r="AE26" s="38"/>
      <c r="AF26" s="38"/>
      <c r="AG26" s="38"/>
      <c r="AH26" s="40"/>
    </row>
    <row r="27" spans="1:34" x14ac:dyDescent="0.25">
      <c r="A27" t="s">
        <v>61</v>
      </c>
      <c r="B27" s="37"/>
      <c r="C27" s="38"/>
      <c r="D27" s="38"/>
      <c r="E27" s="38"/>
      <c r="F27" s="38"/>
      <c r="G27" s="38"/>
      <c r="H27" s="40"/>
      <c r="I27" s="37"/>
      <c r="J27" s="38"/>
      <c r="K27" s="38"/>
      <c r="L27" s="38"/>
      <c r="M27" s="38"/>
      <c r="N27" s="38"/>
      <c r="O27" s="40"/>
      <c r="P27" s="37"/>
      <c r="Q27" s="38"/>
      <c r="R27" s="38"/>
      <c r="S27" s="38"/>
      <c r="T27" s="38"/>
      <c r="U27" s="38"/>
      <c r="V27" s="40"/>
      <c r="W27" s="37"/>
      <c r="X27" s="38"/>
      <c r="Y27" s="38"/>
      <c r="Z27" s="38"/>
      <c r="AA27" s="38"/>
      <c r="AB27" s="38"/>
      <c r="AC27" s="40"/>
      <c r="AD27" s="37"/>
      <c r="AE27" s="38"/>
      <c r="AF27" s="38"/>
      <c r="AG27" s="38"/>
      <c r="AH27" s="40"/>
    </row>
    <row r="28" spans="1:34" x14ac:dyDescent="0.25">
      <c r="A28" t="s">
        <v>62</v>
      </c>
      <c r="B28" s="37"/>
      <c r="C28" s="38"/>
      <c r="D28" s="38"/>
      <c r="E28" s="38"/>
      <c r="F28" s="38"/>
      <c r="G28" s="38"/>
      <c r="H28" s="40"/>
      <c r="I28" s="37"/>
      <c r="J28" s="38"/>
      <c r="K28" s="38"/>
      <c r="L28" s="38"/>
      <c r="M28" s="38"/>
      <c r="N28" s="38"/>
      <c r="O28" s="40"/>
      <c r="P28" s="37"/>
      <c r="Q28" s="38"/>
      <c r="R28" s="38"/>
      <c r="S28" s="38"/>
      <c r="T28" s="38"/>
      <c r="U28" s="38"/>
      <c r="V28" s="40"/>
      <c r="W28" s="37"/>
      <c r="X28" s="38"/>
      <c r="Y28" s="38"/>
      <c r="Z28" s="38"/>
      <c r="AA28" s="38"/>
      <c r="AB28" s="38"/>
      <c r="AC28" s="40"/>
      <c r="AD28" s="37"/>
      <c r="AE28" s="38"/>
      <c r="AF28" s="38"/>
      <c r="AG28" s="38"/>
      <c r="AH28" s="40"/>
    </row>
    <row r="29" spans="1:34" x14ac:dyDescent="0.25">
      <c r="A29" t="s">
        <v>63</v>
      </c>
      <c r="B29" s="37"/>
      <c r="C29" s="38"/>
      <c r="D29" s="38"/>
      <c r="E29" s="38"/>
      <c r="F29" s="38"/>
      <c r="G29" s="38"/>
      <c r="H29" s="40"/>
      <c r="I29" s="37"/>
      <c r="J29" s="38"/>
      <c r="K29" s="38"/>
      <c r="L29" s="38"/>
      <c r="M29" s="38"/>
      <c r="N29" s="38"/>
      <c r="O29" s="40"/>
      <c r="P29" s="37"/>
      <c r="Q29" s="38"/>
      <c r="R29" s="38"/>
      <c r="S29" s="38"/>
      <c r="T29" s="38"/>
      <c r="U29" s="38"/>
      <c r="V29" s="40"/>
      <c r="W29" s="37"/>
      <c r="X29" s="38"/>
      <c r="Y29" s="38"/>
      <c r="Z29" s="38"/>
      <c r="AA29" s="38"/>
      <c r="AB29" s="38"/>
      <c r="AC29" s="40"/>
      <c r="AD29" s="37"/>
      <c r="AE29" s="38"/>
      <c r="AF29" s="38"/>
      <c r="AG29" s="38"/>
      <c r="AH29" s="40"/>
    </row>
    <row r="30" spans="1:34" ht="15.75" thickBot="1" x14ac:dyDescent="0.3">
      <c r="A30" s="7" t="s">
        <v>64</v>
      </c>
      <c r="B30" s="42"/>
      <c r="C30" s="43"/>
      <c r="D30" s="43"/>
      <c r="E30" s="43"/>
      <c r="F30" s="43"/>
      <c r="G30" s="43"/>
      <c r="H30" s="44"/>
      <c r="I30" s="42"/>
      <c r="J30" s="43"/>
      <c r="K30" s="43"/>
      <c r="L30" s="43"/>
      <c r="M30" s="43"/>
      <c r="N30" s="43"/>
      <c r="O30" s="44"/>
      <c r="P30" s="42"/>
      <c r="Q30" s="43"/>
      <c r="R30" s="43"/>
      <c r="S30" s="43"/>
      <c r="T30" s="43"/>
      <c r="U30" s="43"/>
      <c r="V30" s="44"/>
      <c r="W30" s="42"/>
      <c r="X30" s="43"/>
      <c r="Y30" s="43"/>
      <c r="Z30" s="43"/>
      <c r="AA30" s="43"/>
      <c r="AB30" s="43"/>
      <c r="AC30" s="44"/>
      <c r="AD30" s="42"/>
      <c r="AE30" s="43"/>
      <c r="AF30" s="43"/>
      <c r="AG30" s="43"/>
      <c r="AH30" s="44"/>
    </row>
    <row r="34" spans="1:6" ht="15.75" thickBot="1" x14ac:dyDescent="0.3">
      <c r="A34" s="36" t="s">
        <v>74</v>
      </c>
      <c r="B34" s="16" t="s">
        <v>69</v>
      </c>
      <c r="C34" s="16" t="s">
        <v>75</v>
      </c>
    </row>
    <row r="35" spans="1:6" x14ac:dyDescent="0.25">
      <c r="A35">
        <v>1</v>
      </c>
      <c r="B35" s="3" cm="1">
        <f t="array" ref="B35">SUMPRODUCT(($B$4:$F$30&lt;&gt;"")*SUMIF('Datos - Axis'!$B$3:$B$21,$B$4:$F$30,'Datos - Axis'!$E$3:$E$21))</f>
        <v>0</v>
      </c>
      <c r="C35" s="1" t="s">
        <v>32</v>
      </c>
      <c r="D35" s="14"/>
      <c r="E35" s="14"/>
      <c r="F35" s="14"/>
    </row>
    <row r="36" spans="1:6" x14ac:dyDescent="0.25">
      <c r="A36">
        <v>2</v>
      </c>
      <c r="B36" s="3" cm="1">
        <f t="array" ref="B36">SUMPRODUCT(($I$4:$M$30&lt;&gt;"")*SUMIF('Datos - Axis'!$B$3:$B$21,$I$4:$M$30,'Datos - Axis'!$E$3:$E$21))</f>
        <v>0</v>
      </c>
      <c r="C36" s="1" t="s">
        <v>32</v>
      </c>
    </row>
    <row r="37" spans="1:6" x14ac:dyDescent="0.25">
      <c r="A37">
        <v>3</v>
      </c>
      <c r="B37" s="3" cm="1">
        <f t="array" ref="B37">SUMPRODUCT(($P$4:$T$30&lt;&gt;"")*SUMIF('Datos - Axis'!$B$3:$B$21,$P$4:$T$30,'Datos - Axis'!$E$3:$E$21))</f>
        <v>0</v>
      </c>
      <c r="C37" s="1" t="s">
        <v>32</v>
      </c>
    </row>
    <row r="38" spans="1:6" x14ac:dyDescent="0.25">
      <c r="A38">
        <v>4</v>
      </c>
      <c r="B38" s="3" cm="1">
        <f t="array" ref="B38">SUMPRODUCT(($W$4:$AA$30&lt;&gt;"")*SUMIF('Datos - Axis'!$B$3:$B$21,$W$4:$AA$30,'Datos - Axis'!$E$3:$E$21))</f>
        <v>0</v>
      </c>
      <c r="C38" s="1" t="s">
        <v>32</v>
      </c>
    </row>
    <row r="39" spans="1:6" x14ac:dyDescent="0.25">
      <c r="A39">
        <v>5</v>
      </c>
      <c r="B39" s="3" cm="1">
        <f t="array" ref="B39">SUMPRODUCT(($AD$4:$AH$30&lt;&gt;"")*SUMIF('Datos - Axis'!$B$3:$B$21,$AD$4:$AH$30,'Datos - Axis'!$E$3:$E$21))</f>
        <v>0</v>
      </c>
      <c r="C39" s="1" t="s">
        <v>32</v>
      </c>
    </row>
    <row r="41" spans="1:6" x14ac:dyDescent="0.25">
      <c r="A41" s="11" t="s">
        <v>76</v>
      </c>
      <c r="B41" s="23">
        <f>SUM(B35:B39)</f>
        <v>0</v>
      </c>
    </row>
  </sheetData>
  <mergeCells count="5">
    <mergeCell ref="B1:H1"/>
    <mergeCell ref="I1:O1"/>
    <mergeCell ref="P1:V1"/>
    <mergeCell ref="W1:AC1"/>
    <mergeCell ref="AD1:AH1"/>
  </mergeCells>
  <conditionalFormatting sqref="B41">
    <cfRule type="cellIs" dxfId="17" priority="3" operator="greaterThan">
      <formula>0</formula>
    </cfRule>
  </conditionalFormatting>
  <conditionalFormatting sqref="B35:C39">
    <cfRule type="expression" dxfId="16" priority="1">
      <formula>$C35="Si"</formula>
    </cfRule>
  </conditionalFormatting>
  <conditionalFormatting sqref="B4:AH30">
    <cfRule type="expression" dxfId="15" priority="6">
      <formula>B4&lt;&gt;""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B9D5BC4-B9A3-4057-B5C5-C60286069DCE}">
          <x14:formula1>
            <xm:f>'Datos - Axis'!$B$3:$B$19</xm:f>
          </x14:formula1>
          <xm:sqref>B4:C8 D8:E8 D4:D6 E4 E6 F7:F8 F4:F5 G4:H8 J4:AC8 I4:I6 I8</xm:sqref>
        </x14:dataValidation>
        <x14:dataValidation type="list" allowBlank="1" showInputMessage="1" showErrorMessage="1" xr:uid="{269989FB-A3AE-42E5-8770-63EE921ED6D4}">
          <x14:formula1>
            <xm:f>'Datos - Axis'!$B$3:$B$15</xm:f>
          </x14:formula1>
          <xm:sqref>B27:B30 I17:I30 I9:I15 J9:AC30 E9:H30 C9:C30 B9:B25 D9:D15 D17:D30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5D92-6224-45A7-9324-BD8917AD4D02}">
  <sheetPr codeName="Hoja14">
    <tabColor theme="7" tint="0.59999389629810485"/>
  </sheetPr>
  <dimension ref="A1:AD41"/>
  <sheetViews>
    <sheetView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35" sqref="B35:B38"/>
    </sheetView>
  </sheetViews>
  <sheetFormatPr baseColWidth="10" defaultRowHeight="15" x14ac:dyDescent="0.25"/>
  <cols>
    <col min="1" max="1" width="15.5703125" bestFit="1" customWidth="1"/>
    <col min="2" max="2" width="12" bestFit="1" customWidth="1"/>
    <col min="4" max="4" width="13.7109375" bestFit="1" customWidth="1"/>
    <col min="5" max="5" width="14.28515625" bestFit="1" customWidth="1"/>
    <col min="6" max="6" width="17.140625" bestFit="1" customWidth="1"/>
    <col min="7" max="7" width="7.28515625" hidden="1" customWidth="1"/>
    <col min="8" max="8" width="8.85546875" hidden="1" customWidth="1"/>
    <col min="9" max="9" width="13.7109375" bestFit="1" customWidth="1"/>
    <col min="14" max="15" width="11.42578125" hidden="1" customWidth="1"/>
    <col min="21" max="22" width="11.42578125" hidden="1" customWidth="1"/>
    <col min="28" max="29" width="11.42578125" hidden="1" customWidth="1"/>
  </cols>
  <sheetData>
    <row r="1" spans="1:30" x14ac:dyDescent="0.25">
      <c r="B1" s="280" t="s">
        <v>35</v>
      </c>
      <c r="C1" s="281"/>
      <c r="D1" s="281"/>
      <c r="E1" s="281"/>
      <c r="F1" s="281"/>
      <c r="G1" s="281"/>
      <c r="H1" s="282"/>
      <c r="I1" s="280" t="s">
        <v>36</v>
      </c>
      <c r="J1" s="281"/>
      <c r="K1" s="281"/>
      <c r="L1" s="281"/>
      <c r="M1" s="281"/>
      <c r="N1" s="281"/>
      <c r="O1" s="282"/>
      <c r="P1" s="280" t="s">
        <v>37</v>
      </c>
      <c r="Q1" s="281"/>
      <c r="R1" s="281"/>
      <c r="S1" s="281"/>
      <c r="T1" s="281"/>
      <c r="U1" s="281"/>
      <c r="V1" s="282"/>
      <c r="W1" s="280" t="s">
        <v>38</v>
      </c>
      <c r="X1" s="281"/>
      <c r="Y1" s="281"/>
      <c r="Z1" s="281"/>
      <c r="AA1" s="281"/>
      <c r="AB1" s="281"/>
      <c r="AC1" s="282"/>
      <c r="AD1" s="12"/>
    </row>
    <row r="2" spans="1:30" x14ac:dyDescent="0.25">
      <c r="B2" s="4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5" t="s">
        <v>27</v>
      </c>
      <c r="I2" s="4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5" t="s">
        <v>27</v>
      </c>
      <c r="P2" s="4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5" t="s">
        <v>27</v>
      </c>
      <c r="W2" s="4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/>
      <c r="AC2" s="5"/>
      <c r="AD2" s="4"/>
    </row>
    <row r="3" spans="1:30" ht="15.75" thickBot="1" x14ac:dyDescent="0.3">
      <c r="A3" s="7"/>
      <c r="B3" s="8">
        <v>2</v>
      </c>
      <c r="C3" s="9">
        <v>3</v>
      </c>
      <c r="D3" s="9">
        <v>4</v>
      </c>
      <c r="E3" s="9">
        <v>5</v>
      </c>
      <c r="F3" s="10">
        <v>6</v>
      </c>
      <c r="G3" s="9">
        <v>7</v>
      </c>
      <c r="H3" s="10">
        <v>8</v>
      </c>
      <c r="I3" s="9">
        <v>9</v>
      </c>
      <c r="J3" s="9">
        <v>10</v>
      </c>
      <c r="K3" s="9">
        <v>11</v>
      </c>
      <c r="L3" s="9">
        <v>12</v>
      </c>
      <c r="M3" s="10">
        <v>13</v>
      </c>
      <c r="N3" s="9">
        <v>14</v>
      </c>
      <c r="O3" s="10">
        <v>15</v>
      </c>
      <c r="P3" s="9">
        <v>16</v>
      </c>
      <c r="Q3" s="9">
        <v>17</v>
      </c>
      <c r="R3" s="9">
        <v>18</v>
      </c>
      <c r="S3" s="9">
        <v>19</v>
      </c>
      <c r="T3" s="10">
        <v>20</v>
      </c>
      <c r="U3" s="9">
        <v>21</v>
      </c>
      <c r="V3" s="10">
        <v>22</v>
      </c>
      <c r="W3" s="9">
        <v>23</v>
      </c>
      <c r="X3" s="9">
        <v>24</v>
      </c>
      <c r="Y3" s="9">
        <v>25</v>
      </c>
      <c r="Z3" s="9">
        <v>26</v>
      </c>
      <c r="AA3" s="9">
        <v>27</v>
      </c>
      <c r="AB3" s="9"/>
      <c r="AC3" s="10"/>
      <c r="AD3" s="4"/>
    </row>
    <row r="4" spans="1:30" x14ac:dyDescent="0.25">
      <c r="A4" t="s">
        <v>40</v>
      </c>
      <c r="B4" s="37"/>
      <c r="C4" s="38"/>
      <c r="D4" s="38"/>
      <c r="E4" s="39"/>
      <c r="F4" s="38"/>
      <c r="G4" s="38"/>
      <c r="H4" s="40"/>
      <c r="I4" s="37"/>
      <c r="J4" s="38"/>
      <c r="K4" s="38"/>
      <c r="L4" s="38"/>
      <c r="M4" s="38"/>
      <c r="N4" s="38"/>
      <c r="O4" s="40"/>
      <c r="P4" s="37"/>
      <c r="Q4" s="38"/>
      <c r="R4" s="38"/>
      <c r="S4" s="38"/>
      <c r="T4" s="38"/>
      <c r="U4" s="38"/>
      <c r="V4" s="40"/>
      <c r="W4" s="37"/>
      <c r="X4" s="38"/>
      <c r="Y4" s="38"/>
      <c r="Z4" s="38"/>
      <c r="AA4" s="38"/>
      <c r="AB4" s="38"/>
      <c r="AC4" s="40"/>
      <c r="AD4" s="37"/>
    </row>
    <row r="5" spans="1:30" x14ac:dyDescent="0.25">
      <c r="A5" t="s">
        <v>41</v>
      </c>
      <c r="B5" s="37"/>
      <c r="C5" s="38"/>
      <c r="D5" s="38"/>
      <c r="E5" s="39"/>
      <c r="F5" s="39"/>
      <c r="G5" s="38"/>
      <c r="H5" s="40"/>
      <c r="I5" s="37"/>
      <c r="J5" s="38"/>
      <c r="K5" s="38"/>
      <c r="L5" s="38"/>
      <c r="M5" s="38"/>
      <c r="N5" s="38"/>
      <c r="O5" s="40"/>
      <c r="P5" s="37"/>
      <c r="Q5" s="38"/>
      <c r="R5" s="38"/>
      <c r="S5" s="38"/>
      <c r="T5" s="38"/>
      <c r="U5" s="38"/>
      <c r="V5" s="40"/>
      <c r="W5" s="37"/>
      <c r="X5" s="38"/>
      <c r="Y5" s="38"/>
      <c r="Z5" s="38"/>
      <c r="AA5" s="38"/>
      <c r="AB5" s="38"/>
      <c r="AC5" s="40"/>
      <c r="AD5" s="37"/>
    </row>
    <row r="6" spans="1:30" x14ac:dyDescent="0.25">
      <c r="A6" t="s">
        <v>42</v>
      </c>
      <c r="B6" s="37"/>
      <c r="C6" s="38"/>
      <c r="D6" s="39"/>
      <c r="E6" s="39"/>
      <c r="F6" s="39"/>
      <c r="G6" s="38"/>
      <c r="H6" s="40"/>
      <c r="I6" s="41"/>
      <c r="J6" s="38"/>
      <c r="K6" s="38"/>
      <c r="L6" s="38"/>
      <c r="M6" s="38"/>
      <c r="N6" s="38"/>
      <c r="O6" s="40"/>
      <c r="P6" s="37"/>
      <c r="Q6" s="38"/>
      <c r="R6" s="38"/>
      <c r="S6" s="38"/>
      <c r="T6" s="38"/>
      <c r="U6" s="38"/>
      <c r="V6" s="40"/>
      <c r="W6" s="37"/>
      <c r="X6" s="38"/>
      <c r="Y6" s="38"/>
      <c r="Z6" s="38"/>
      <c r="AA6" s="38"/>
      <c r="AB6" s="38"/>
      <c r="AC6" s="40"/>
      <c r="AD6" s="37"/>
    </row>
    <row r="7" spans="1:30" x14ac:dyDescent="0.25">
      <c r="A7" t="s">
        <v>43</v>
      </c>
      <c r="B7" s="37"/>
      <c r="C7" s="38"/>
      <c r="D7" s="39"/>
      <c r="E7" s="39"/>
      <c r="F7" s="38"/>
      <c r="G7" s="38"/>
      <c r="H7" s="40"/>
      <c r="I7" s="41"/>
      <c r="J7" s="38"/>
      <c r="K7" s="38"/>
      <c r="L7" s="38"/>
      <c r="M7" s="38"/>
      <c r="N7" s="38"/>
      <c r="O7" s="40"/>
      <c r="P7" s="37"/>
      <c r="Q7" s="38"/>
      <c r="R7" s="38"/>
      <c r="S7" s="38"/>
      <c r="T7" s="38"/>
      <c r="U7" s="38"/>
      <c r="V7" s="40"/>
      <c r="W7" s="37"/>
      <c r="X7" s="38"/>
      <c r="Y7" s="38"/>
      <c r="Z7" s="38"/>
      <c r="AA7" s="38"/>
      <c r="AB7" s="38"/>
      <c r="AC7" s="40"/>
      <c r="AD7" s="37"/>
    </row>
    <row r="8" spans="1:30" x14ac:dyDescent="0.25">
      <c r="A8" t="s">
        <v>65</v>
      </c>
      <c r="B8" s="37"/>
      <c r="C8" s="38"/>
      <c r="D8" s="38"/>
      <c r="E8" s="38"/>
      <c r="F8" s="38"/>
      <c r="G8" s="38"/>
      <c r="H8" s="40"/>
      <c r="I8" s="37"/>
      <c r="J8" s="38"/>
      <c r="K8" s="38"/>
      <c r="L8" s="38"/>
      <c r="M8" s="38"/>
      <c r="N8" s="38"/>
      <c r="O8" s="40"/>
      <c r="P8" s="37"/>
      <c r="Q8" s="38"/>
      <c r="R8" s="38"/>
      <c r="S8" s="38"/>
      <c r="T8" s="38"/>
      <c r="U8" s="38"/>
      <c r="V8" s="40"/>
      <c r="W8" s="37"/>
      <c r="X8" s="38"/>
      <c r="Y8" s="38"/>
      <c r="Z8" s="38"/>
      <c r="AA8" s="38"/>
      <c r="AB8" s="38"/>
      <c r="AC8" s="40"/>
      <c r="AD8" s="37"/>
    </row>
    <row r="9" spans="1:30" x14ac:dyDescent="0.25">
      <c r="A9" t="s">
        <v>66</v>
      </c>
      <c r="B9" s="37"/>
      <c r="C9" s="38"/>
      <c r="D9" s="38"/>
      <c r="E9" s="38"/>
      <c r="F9" s="38"/>
      <c r="G9" s="38"/>
      <c r="H9" s="40"/>
      <c r="I9" s="37"/>
      <c r="J9" s="38"/>
      <c r="K9" s="38"/>
      <c r="L9" s="38"/>
      <c r="M9" s="38"/>
      <c r="N9" s="38"/>
      <c r="O9" s="40"/>
      <c r="P9" s="37"/>
      <c r="Q9" s="38"/>
      <c r="R9" s="38"/>
      <c r="S9" s="38"/>
      <c r="T9" s="38"/>
      <c r="U9" s="38"/>
      <c r="V9" s="40"/>
      <c r="W9" s="37"/>
      <c r="X9" s="38"/>
      <c r="Y9" s="38"/>
      <c r="Z9" s="38"/>
      <c r="AA9" s="38"/>
      <c r="AB9" s="38"/>
      <c r="AC9" s="40"/>
      <c r="AD9" s="37"/>
    </row>
    <row r="10" spans="1:30" x14ac:dyDescent="0.25">
      <c r="A10" t="s">
        <v>44</v>
      </c>
      <c r="B10" s="37"/>
      <c r="C10" s="38"/>
      <c r="D10" s="38"/>
      <c r="E10" s="38"/>
      <c r="F10" s="38"/>
      <c r="G10" s="38"/>
      <c r="H10" s="40"/>
      <c r="I10" s="37"/>
      <c r="J10" s="38"/>
      <c r="K10" s="38"/>
      <c r="L10" s="38"/>
      <c r="M10" s="38"/>
      <c r="N10" s="38"/>
      <c r="O10" s="40"/>
      <c r="P10" s="37"/>
      <c r="Q10" s="38"/>
      <c r="R10" s="38"/>
      <c r="S10" s="38"/>
      <c r="T10" s="38"/>
      <c r="U10" s="38"/>
      <c r="V10" s="40"/>
      <c r="W10" s="37"/>
      <c r="X10" s="38"/>
      <c r="Y10" s="38"/>
      <c r="Z10" s="38"/>
      <c r="AA10" s="38"/>
      <c r="AB10" s="38"/>
      <c r="AC10" s="40"/>
      <c r="AD10" s="37"/>
    </row>
    <row r="11" spans="1:30" x14ac:dyDescent="0.25">
      <c r="A11" t="s">
        <v>45</v>
      </c>
      <c r="B11" s="37"/>
      <c r="C11" s="38"/>
      <c r="D11" s="38"/>
      <c r="E11" s="38"/>
      <c r="F11" s="38"/>
      <c r="G11" s="38"/>
      <c r="H11" s="40"/>
      <c r="I11" s="37"/>
      <c r="J11" s="38"/>
      <c r="K11" s="38"/>
      <c r="L11" s="38"/>
      <c r="M11" s="38"/>
      <c r="N11" s="38"/>
      <c r="O11" s="40"/>
      <c r="P11" s="37"/>
      <c r="Q11" s="38"/>
      <c r="R11" s="38"/>
      <c r="S11" s="38"/>
      <c r="T11" s="38"/>
      <c r="U11" s="38"/>
      <c r="V11" s="40"/>
      <c r="W11" s="37"/>
      <c r="X11" s="38"/>
      <c r="Y11" s="38"/>
      <c r="Z11" s="38"/>
      <c r="AA11" s="38"/>
      <c r="AB11" s="38"/>
      <c r="AC11" s="40"/>
      <c r="AD11" s="37"/>
    </row>
    <row r="12" spans="1:30" x14ac:dyDescent="0.25">
      <c r="A12" t="s">
        <v>46</v>
      </c>
      <c r="B12" s="37"/>
      <c r="C12" s="38"/>
      <c r="D12" s="38"/>
      <c r="E12" s="38"/>
      <c r="F12" s="38"/>
      <c r="G12" s="38"/>
      <c r="H12" s="40"/>
      <c r="I12" s="37"/>
      <c r="J12" s="38"/>
      <c r="K12" s="38"/>
      <c r="L12" s="38"/>
      <c r="M12" s="38"/>
      <c r="N12" s="38"/>
      <c r="O12" s="40"/>
      <c r="P12" s="37"/>
      <c r="Q12" s="38"/>
      <c r="R12" s="38"/>
      <c r="S12" s="38"/>
      <c r="T12" s="38"/>
      <c r="U12" s="38"/>
      <c r="V12" s="40"/>
      <c r="W12" s="37"/>
      <c r="X12" s="38"/>
      <c r="Y12" s="38"/>
      <c r="Z12" s="38"/>
      <c r="AA12" s="38"/>
      <c r="AB12" s="38"/>
      <c r="AC12" s="40"/>
      <c r="AD12" s="37"/>
    </row>
    <row r="13" spans="1:30" x14ac:dyDescent="0.25">
      <c r="A13" t="s">
        <v>47</v>
      </c>
      <c r="B13" s="37"/>
      <c r="C13" s="38"/>
      <c r="D13" s="38"/>
      <c r="E13" s="38"/>
      <c r="F13" s="38"/>
      <c r="G13" s="38"/>
      <c r="H13" s="40"/>
      <c r="I13" s="37"/>
      <c r="J13" s="38"/>
      <c r="K13" s="38"/>
      <c r="L13" s="38"/>
      <c r="M13" s="38"/>
      <c r="N13" s="38"/>
      <c r="O13" s="40"/>
      <c r="P13" s="37"/>
      <c r="Q13" s="38"/>
      <c r="R13" s="38"/>
      <c r="S13" s="38"/>
      <c r="T13" s="38"/>
      <c r="U13" s="38"/>
      <c r="V13" s="40"/>
      <c r="W13" s="37"/>
      <c r="X13" s="38"/>
      <c r="Y13" s="38"/>
      <c r="Z13" s="38"/>
      <c r="AA13" s="38"/>
      <c r="AB13" s="38"/>
      <c r="AC13" s="40"/>
      <c r="AD13" s="37"/>
    </row>
    <row r="14" spans="1:30" x14ac:dyDescent="0.25">
      <c r="A14" t="s">
        <v>48</v>
      </c>
      <c r="B14" s="37"/>
      <c r="C14" s="38"/>
      <c r="D14" s="38"/>
      <c r="E14" s="38"/>
      <c r="F14" s="38"/>
      <c r="G14" s="38"/>
      <c r="H14" s="40"/>
      <c r="I14" s="37"/>
      <c r="J14" s="38"/>
      <c r="K14" s="38"/>
      <c r="L14" s="38"/>
      <c r="M14" s="38"/>
      <c r="N14" s="38"/>
      <c r="O14" s="40"/>
      <c r="P14" s="37"/>
      <c r="Q14" s="38"/>
      <c r="R14" s="38"/>
      <c r="S14" s="38"/>
      <c r="T14" s="38"/>
      <c r="U14" s="38"/>
      <c r="V14" s="40"/>
      <c r="W14" s="37"/>
      <c r="X14" s="38"/>
      <c r="Y14" s="38"/>
      <c r="Z14" s="38"/>
      <c r="AA14" s="38"/>
      <c r="AB14" s="38"/>
      <c r="AC14" s="40"/>
      <c r="AD14" s="37"/>
    </row>
    <row r="15" spans="1:30" x14ac:dyDescent="0.25">
      <c r="A15" t="s">
        <v>49</v>
      </c>
      <c r="B15" s="37"/>
      <c r="C15" s="38"/>
      <c r="D15" s="39"/>
      <c r="E15" s="38"/>
      <c r="F15" s="40"/>
      <c r="G15" s="38"/>
      <c r="H15" s="38"/>
      <c r="I15" s="39"/>
      <c r="J15" s="38"/>
      <c r="K15" s="38"/>
      <c r="L15" s="38"/>
      <c r="M15" s="38"/>
      <c r="N15" s="38"/>
      <c r="O15" s="40"/>
      <c r="P15" s="37"/>
      <c r="Q15" s="38"/>
      <c r="R15" s="38"/>
      <c r="S15" s="38"/>
      <c r="T15" s="38"/>
      <c r="U15" s="38"/>
      <c r="V15" s="40"/>
      <c r="W15" s="37"/>
      <c r="X15" s="38"/>
      <c r="Y15" s="38"/>
      <c r="Z15" s="38"/>
      <c r="AA15" s="38"/>
      <c r="AB15" s="38"/>
      <c r="AC15" s="40"/>
      <c r="AD15" s="37"/>
    </row>
    <row r="16" spans="1:30" x14ac:dyDescent="0.25">
      <c r="A16" t="s">
        <v>50</v>
      </c>
      <c r="B16" s="37"/>
      <c r="C16" s="38"/>
      <c r="D16" s="39"/>
      <c r="E16" s="38"/>
      <c r="F16" s="40"/>
      <c r="G16" s="38"/>
      <c r="H16" s="38"/>
      <c r="I16" s="39"/>
      <c r="J16" s="38"/>
      <c r="K16" s="38"/>
      <c r="L16" s="38"/>
      <c r="M16" s="38"/>
      <c r="N16" s="38"/>
      <c r="O16" s="40"/>
      <c r="P16" s="37"/>
      <c r="Q16" s="38"/>
      <c r="R16" s="38"/>
      <c r="S16" s="38"/>
      <c r="T16" s="38"/>
      <c r="U16" s="38"/>
      <c r="V16" s="40"/>
      <c r="W16" s="37"/>
      <c r="X16" s="38"/>
      <c r="Y16" s="38"/>
      <c r="Z16" s="38"/>
      <c r="AA16" s="38"/>
      <c r="AB16" s="38"/>
      <c r="AC16" s="40"/>
      <c r="AD16" s="37"/>
    </row>
    <row r="17" spans="1:30" x14ac:dyDescent="0.25">
      <c r="A17" t="s">
        <v>51</v>
      </c>
      <c r="B17" s="37"/>
      <c r="C17" s="38"/>
      <c r="D17" s="38"/>
      <c r="E17" s="38"/>
      <c r="F17" s="38"/>
      <c r="G17" s="38"/>
      <c r="H17" s="40"/>
      <c r="I17" s="37"/>
      <c r="J17" s="38"/>
      <c r="K17" s="38"/>
      <c r="L17" s="38"/>
      <c r="M17" s="38"/>
      <c r="N17" s="38"/>
      <c r="O17" s="40"/>
      <c r="P17" s="37"/>
      <c r="Q17" s="38"/>
      <c r="R17" s="38"/>
      <c r="S17" s="38"/>
      <c r="T17" s="38"/>
      <c r="U17" s="38"/>
      <c r="V17" s="40"/>
      <c r="W17" s="37"/>
      <c r="X17" s="38"/>
      <c r="Y17" s="38"/>
      <c r="Z17" s="38"/>
      <c r="AA17" s="38"/>
      <c r="AB17" s="38"/>
      <c r="AC17" s="40"/>
      <c r="AD17" s="37"/>
    </row>
    <row r="18" spans="1:30" x14ac:dyDescent="0.25">
      <c r="A18" t="s">
        <v>52</v>
      </c>
      <c r="B18" s="37"/>
      <c r="C18" s="38"/>
      <c r="D18" s="38"/>
      <c r="E18" s="38"/>
      <c r="F18" s="38"/>
      <c r="G18" s="38"/>
      <c r="H18" s="40"/>
      <c r="I18" s="37"/>
      <c r="J18" s="38"/>
      <c r="K18" s="38"/>
      <c r="L18" s="38"/>
      <c r="M18" s="38"/>
      <c r="N18" s="38"/>
      <c r="O18" s="40"/>
      <c r="P18" s="37"/>
      <c r="Q18" s="38"/>
      <c r="R18" s="38"/>
      <c r="S18" s="38"/>
      <c r="T18" s="38"/>
      <c r="U18" s="38"/>
      <c r="V18" s="40"/>
      <c r="W18" s="37"/>
      <c r="X18" s="38"/>
      <c r="Y18" s="38"/>
      <c r="Z18" s="38"/>
      <c r="AA18" s="38"/>
      <c r="AB18" s="38"/>
      <c r="AC18" s="40"/>
      <c r="AD18" s="37"/>
    </row>
    <row r="19" spans="1:30" x14ac:dyDescent="0.25">
      <c r="A19" t="s">
        <v>53</v>
      </c>
      <c r="B19" s="37"/>
      <c r="C19" s="38"/>
      <c r="D19" s="38"/>
      <c r="E19" s="38"/>
      <c r="F19" s="38"/>
      <c r="G19" s="38"/>
      <c r="H19" s="40"/>
      <c r="I19" s="37"/>
      <c r="J19" s="38"/>
      <c r="K19" s="38"/>
      <c r="L19" s="38"/>
      <c r="M19" s="38"/>
      <c r="N19" s="38"/>
      <c r="O19" s="40"/>
      <c r="P19" s="37"/>
      <c r="Q19" s="38"/>
      <c r="R19" s="38"/>
      <c r="S19" s="38"/>
      <c r="T19" s="38"/>
      <c r="U19" s="38"/>
      <c r="V19" s="40"/>
      <c r="W19" s="37"/>
      <c r="X19" s="38"/>
      <c r="Y19" s="38"/>
      <c r="Z19" s="38"/>
      <c r="AA19" s="38"/>
      <c r="AB19" s="38"/>
      <c r="AC19" s="40"/>
      <c r="AD19" s="37"/>
    </row>
    <row r="20" spans="1:30" x14ac:dyDescent="0.25">
      <c r="A20" t="s">
        <v>54</v>
      </c>
      <c r="B20" s="37"/>
      <c r="C20" s="38"/>
      <c r="D20" s="38"/>
      <c r="E20" s="38"/>
      <c r="F20" s="38"/>
      <c r="G20" s="38"/>
      <c r="H20" s="40"/>
      <c r="I20" s="37"/>
      <c r="J20" s="38"/>
      <c r="K20" s="38"/>
      <c r="L20" s="38"/>
      <c r="M20" s="38"/>
      <c r="N20" s="38"/>
      <c r="O20" s="40"/>
      <c r="P20" s="37"/>
      <c r="Q20" s="38"/>
      <c r="R20" s="38"/>
      <c r="S20" s="38"/>
      <c r="T20" s="38"/>
      <c r="U20" s="38"/>
      <c r="V20" s="40"/>
      <c r="W20" s="37"/>
      <c r="X20" s="38"/>
      <c r="Y20" s="38"/>
      <c r="Z20" s="38"/>
      <c r="AA20" s="38"/>
      <c r="AB20" s="38"/>
      <c r="AC20" s="40"/>
      <c r="AD20" s="37"/>
    </row>
    <row r="21" spans="1:30" x14ac:dyDescent="0.25">
      <c r="A21" t="s">
        <v>55</v>
      </c>
      <c r="B21" s="37"/>
      <c r="C21" s="38"/>
      <c r="D21" s="38"/>
      <c r="E21" s="38"/>
      <c r="F21" s="38"/>
      <c r="G21" s="38"/>
      <c r="H21" s="40"/>
      <c r="I21" s="37"/>
      <c r="J21" s="38"/>
      <c r="K21" s="38"/>
      <c r="L21" s="38"/>
      <c r="M21" s="38"/>
      <c r="N21" s="38"/>
      <c r="O21" s="40"/>
      <c r="P21" s="37"/>
      <c r="Q21" s="38"/>
      <c r="R21" s="38"/>
      <c r="S21" s="38"/>
      <c r="T21" s="38"/>
      <c r="U21" s="38"/>
      <c r="V21" s="40"/>
      <c r="W21" s="37"/>
      <c r="X21" s="38"/>
      <c r="Y21" s="38"/>
      <c r="Z21" s="38"/>
      <c r="AA21" s="38"/>
      <c r="AB21" s="38"/>
      <c r="AC21" s="40"/>
      <c r="AD21" s="37"/>
    </row>
    <row r="22" spans="1:30" x14ac:dyDescent="0.25">
      <c r="A22" t="s">
        <v>56</v>
      </c>
      <c r="B22" s="37"/>
      <c r="C22" s="38"/>
      <c r="D22" s="38"/>
      <c r="E22" s="38"/>
      <c r="F22" s="38"/>
      <c r="G22" s="38"/>
      <c r="H22" s="40"/>
      <c r="I22" s="37"/>
      <c r="J22" s="38"/>
      <c r="K22" s="38"/>
      <c r="L22" s="38"/>
      <c r="M22" s="38"/>
      <c r="N22" s="38"/>
      <c r="O22" s="40"/>
      <c r="P22" s="37"/>
      <c r="Q22" s="38"/>
      <c r="R22" s="38"/>
      <c r="S22" s="38"/>
      <c r="T22" s="38"/>
      <c r="U22" s="38"/>
      <c r="V22" s="40"/>
      <c r="W22" s="37"/>
      <c r="X22" s="38"/>
      <c r="Y22" s="38"/>
      <c r="Z22" s="38"/>
      <c r="AA22" s="38"/>
      <c r="AB22" s="38"/>
      <c r="AC22" s="40"/>
      <c r="AD22" s="37"/>
    </row>
    <row r="23" spans="1:30" x14ac:dyDescent="0.25">
      <c r="A23" t="s">
        <v>57</v>
      </c>
      <c r="B23" s="37"/>
      <c r="C23" s="38"/>
      <c r="D23" s="38"/>
      <c r="E23" s="38"/>
      <c r="F23" s="38"/>
      <c r="G23" s="38"/>
      <c r="H23" s="40"/>
      <c r="I23" s="37"/>
      <c r="J23" s="38"/>
      <c r="K23" s="38"/>
      <c r="L23" s="38"/>
      <c r="M23" s="38"/>
      <c r="N23" s="38"/>
      <c r="O23" s="40"/>
      <c r="P23" s="37"/>
      <c r="Q23" s="38"/>
      <c r="R23" s="38"/>
      <c r="S23" s="38"/>
      <c r="T23" s="38"/>
      <c r="U23" s="38"/>
      <c r="V23" s="40"/>
      <c r="W23" s="37"/>
      <c r="X23" s="38"/>
      <c r="Y23" s="38"/>
      <c r="Z23" s="38"/>
      <c r="AA23" s="38"/>
      <c r="AB23" s="38"/>
      <c r="AC23" s="40"/>
      <c r="AD23" s="37"/>
    </row>
    <row r="24" spans="1:30" x14ac:dyDescent="0.25">
      <c r="A24" t="s">
        <v>58</v>
      </c>
      <c r="B24" s="37"/>
      <c r="C24" s="38"/>
      <c r="D24" s="38"/>
      <c r="E24" s="38"/>
      <c r="F24" s="38"/>
      <c r="G24" s="38"/>
      <c r="H24" s="40"/>
      <c r="I24" s="37"/>
      <c r="J24" s="38"/>
      <c r="K24" s="38"/>
      <c r="L24" s="38"/>
      <c r="M24" s="38"/>
      <c r="N24" s="38"/>
      <c r="O24" s="40"/>
      <c r="P24" s="37"/>
      <c r="Q24" s="38"/>
      <c r="R24" s="38"/>
      <c r="S24" s="38"/>
      <c r="T24" s="38"/>
      <c r="U24" s="38"/>
      <c r="V24" s="40"/>
      <c r="W24" s="37"/>
      <c r="X24" s="38"/>
      <c r="Y24" s="38"/>
      <c r="Z24" s="38"/>
      <c r="AA24" s="38"/>
      <c r="AB24" s="38"/>
      <c r="AC24" s="40"/>
      <c r="AD24" s="37"/>
    </row>
    <row r="25" spans="1:30" x14ac:dyDescent="0.25">
      <c r="A25" t="s">
        <v>59</v>
      </c>
      <c r="B25" s="41"/>
      <c r="C25" s="38"/>
      <c r="D25" s="38"/>
      <c r="E25" s="38"/>
      <c r="F25" s="38"/>
      <c r="G25" s="38"/>
      <c r="H25" s="40"/>
      <c r="I25" s="37"/>
      <c r="J25" s="38"/>
      <c r="K25" s="38"/>
      <c r="L25" s="38"/>
      <c r="M25" s="38"/>
      <c r="N25" s="38"/>
      <c r="O25" s="40"/>
      <c r="P25" s="37"/>
      <c r="Q25" s="38"/>
      <c r="R25" s="38"/>
      <c r="S25" s="38"/>
      <c r="T25" s="38"/>
      <c r="U25" s="38"/>
      <c r="V25" s="40"/>
      <c r="W25" s="37"/>
      <c r="X25" s="38"/>
      <c r="Y25" s="38"/>
      <c r="Z25" s="38"/>
      <c r="AA25" s="38"/>
      <c r="AB25" s="38"/>
      <c r="AC25" s="40"/>
      <c r="AD25" s="37"/>
    </row>
    <row r="26" spans="1:30" x14ac:dyDescent="0.25">
      <c r="A26" t="s">
        <v>60</v>
      </c>
      <c r="B26" s="41"/>
      <c r="C26" s="38"/>
      <c r="D26" s="38"/>
      <c r="E26" s="38"/>
      <c r="F26" s="38"/>
      <c r="G26" s="38"/>
      <c r="H26" s="40"/>
      <c r="I26" s="37"/>
      <c r="J26" s="38"/>
      <c r="K26" s="38"/>
      <c r="L26" s="38"/>
      <c r="M26" s="38"/>
      <c r="N26" s="38"/>
      <c r="O26" s="40"/>
      <c r="P26" s="37"/>
      <c r="Q26" s="38"/>
      <c r="R26" s="38"/>
      <c r="S26" s="38"/>
      <c r="T26" s="38"/>
      <c r="U26" s="38"/>
      <c r="V26" s="40"/>
      <c r="W26" s="37"/>
      <c r="X26" s="38"/>
      <c r="Y26" s="38"/>
      <c r="Z26" s="38"/>
      <c r="AA26" s="38"/>
      <c r="AB26" s="38"/>
      <c r="AC26" s="40"/>
      <c r="AD26" s="37"/>
    </row>
    <row r="27" spans="1:30" x14ac:dyDescent="0.25">
      <c r="A27" t="s">
        <v>61</v>
      </c>
      <c r="B27" s="37"/>
      <c r="C27" s="38"/>
      <c r="D27" s="38"/>
      <c r="E27" s="38"/>
      <c r="F27" s="38"/>
      <c r="G27" s="38"/>
      <c r="H27" s="40"/>
      <c r="I27" s="37"/>
      <c r="J27" s="38"/>
      <c r="K27" s="38"/>
      <c r="L27" s="38"/>
      <c r="M27" s="38"/>
      <c r="N27" s="38"/>
      <c r="O27" s="40"/>
      <c r="P27" s="37"/>
      <c r="Q27" s="38"/>
      <c r="R27" s="38"/>
      <c r="S27" s="38"/>
      <c r="T27" s="38"/>
      <c r="U27" s="38"/>
      <c r="V27" s="40"/>
      <c r="W27" s="37"/>
      <c r="X27" s="38"/>
      <c r="Y27" s="38"/>
      <c r="Z27" s="38"/>
      <c r="AA27" s="38"/>
      <c r="AB27" s="38"/>
      <c r="AC27" s="40"/>
      <c r="AD27" s="37"/>
    </row>
    <row r="28" spans="1:30" x14ac:dyDescent="0.25">
      <c r="A28" t="s">
        <v>62</v>
      </c>
      <c r="B28" s="37"/>
      <c r="C28" s="38"/>
      <c r="D28" s="38"/>
      <c r="E28" s="38"/>
      <c r="F28" s="38"/>
      <c r="G28" s="38"/>
      <c r="H28" s="40"/>
      <c r="I28" s="37"/>
      <c r="J28" s="38"/>
      <c r="K28" s="38"/>
      <c r="L28" s="38"/>
      <c r="M28" s="38"/>
      <c r="N28" s="38"/>
      <c r="O28" s="40"/>
      <c r="P28" s="37"/>
      <c r="Q28" s="38"/>
      <c r="R28" s="38"/>
      <c r="S28" s="38"/>
      <c r="T28" s="38"/>
      <c r="U28" s="38"/>
      <c r="V28" s="40"/>
      <c r="W28" s="37"/>
      <c r="X28" s="38"/>
      <c r="Y28" s="38"/>
      <c r="Z28" s="38"/>
      <c r="AA28" s="38"/>
      <c r="AB28" s="38"/>
      <c r="AC28" s="40"/>
      <c r="AD28" s="37"/>
    </row>
    <row r="29" spans="1:30" x14ac:dyDescent="0.25">
      <c r="A29" t="s">
        <v>63</v>
      </c>
      <c r="B29" s="37"/>
      <c r="C29" s="38"/>
      <c r="D29" s="38"/>
      <c r="E29" s="38"/>
      <c r="F29" s="38"/>
      <c r="G29" s="38"/>
      <c r="H29" s="40"/>
      <c r="I29" s="37"/>
      <c r="J29" s="38"/>
      <c r="K29" s="38"/>
      <c r="L29" s="38"/>
      <c r="M29" s="38"/>
      <c r="N29" s="38"/>
      <c r="O29" s="40"/>
      <c r="P29" s="37"/>
      <c r="Q29" s="38"/>
      <c r="R29" s="38"/>
      <c r="S29" s="38"/>
      <c r="T29" s="38"/>
      <c r="U29" s="38"/>
      <c r="V29" s="40"/>
      <c r="W29" s="37"/>
      <c r="X29" s="38"/>
      <c r="Y29" s="38"/>
      <c r="Z29" s="38"/>
      <c r="AA29" s="38"/>
      <c r="AB29" s="38"/>
      <c r="AC29" s="40"/>
      <c r="AD29" s="37"/>
    </row>
    <row r="30" spans="1:30" ht="15.75" thickBot="1" x14ac:dyDescent="0.3">
      <c r="A30" s="7" t="s">
        <v>64</v>
      </c>
      <c r="B30" s="42"/>
      <c r="C30" s="43"/>
      <c r="D30" s="43"/>
      <c r="E30" s="43"/>
      <c r="F30" s="43"/>
      <c r="G30" s="43"/>
      <c r="H30" s="44"/>
      <c r="I30" s="42"/>
      <c r="J30" s="43"/>
      <c r="K30" s="43"/>
      <c r="L30" s="43"/>
      <c r="M30" s="43"/>
      <c r="N30" s="43"/>
      <c r="O30" s="44"/>
      <c r="P30" s="42"/>
      <c r="Q30" s="43"/>
      <c r="R30" s="43"/>
      <c r="S30" s="43"/>
      <c r="T30" s="43"/>
      <c r="U30" s="43"/>
      <c r="V30" s="44"/>
      <c r="W30" s="42"/>
      <c r="X30" s="43"/>
      <c r="Y30" s="43"/>
      <c r="Z30" s="43"/>
      <c r="AA30" s="43"/>
      <c r="AB30" s="43"/>
      <c r="AC30" s="44"/>
      <c r="AD30" s="37"/>
    </row>
    <row r="34" spans="1:6" ht="15.75" thickBot="1" x14ac:dyDescent="0.3">
      <c r="A34" s="36" t="s">
        <v>74</v>
      </c>
      <c r="B34" s="16" t="s">
        <v>69</v>
      </c>
      <c r="C34" s="16" t="s">
        <v>75</v>
      </c>
    </row>
    <row r="35" spans="1:6" x14ac:dyDescent="0.25">
      <c r="A35">
        <v>1</v>
      </c>
      <c r="B35" s="3" cm="1">
        <f t="array" ref="B35">SUMPRODUCT(($B$4:$F$30&lt;&gt;"")*SUMIF('Datos - Axis'!$B$3:$B$21,$B$4:$F$30,'Datos - Axis'!$E$3:$E$21))</f>
        <v>0</v>
      </c>
      <c r="C35" s="1" t="s">
        <v>32</v>
      </c>
      <c r="D35" s="14"/>
      <c r="E35" s="14"/>
      <c r="F35" s="14"/>
    </row>
    <row r="36" spans="1:6" x14ac:dyDescent="0.25">
      <c r="A36">
        <v>2</v>
      </c>
      <c r="B36" s="3" cm="1">
        <f t="array" ref="B36">SUMPRODUCT(($I$4:$M$30&lt;&gt;"")*SUMIF('Datos - Axis'!$B$3:$B$21,$I$4:$M$30,'Datos - Axis'!$E$3:$E$21))</f>
        <v>0</v>
      </c>
      <c r="C36" s="1" t="s">
        <v>32</v>
      </c>
    </row>
    <row r="37" spans="1:6" x14ac:dyDescent="0.25">
      <c r="A37">
        <v>3</v>
      </c>
      <c r="B37" s="3" cm="1">
        <f t="array" ref="B37">SUMPRODUCT(($P$4:$T$30&lt;&gt;"")*SUMIF('Datos - Axis'!$B$3:$B$21,$P$4:$T$30,'Datos - Axis'!$E$3:$E$21))</f>
        <v>0</v>
      </c>
      <c r="C37" s="1" t="s">
        <v>32</v>
      </c>
    </row>
    <row r="38" spans="1:6" x14ac:dyDescent="0.25">
      <c r="A38">
        <v>4</v>
      </c>
      <c r="B38" s="3" cm="1">
        <f t="array" ref="B38">SUMPRODUCT(($W$4:$AA$30&lt;&gt;"")*SUMIF('Datos - Axis'!$B$3:$B$21,$W$4:$AA$30,'Datos - Axis'!$E$3:$E$21))</f>
        <v>0</v>
      </c>
      <c r="C38" s="1" t="s">
        <v>32</v>
      </c>
    </row>
    <row r="39" spans="1:6" x14ac:dyDescent="0.25">
      <c r="B39" s="3"/>
      <c r="C39" s="1"/>
    </row>
    <row r="41" spans="1:6" x14ac:dyDescent="0.25">
      <c r="A41" s="11" t="s">
        <v>76</v>
      </c>
      <c r="B41" s="23">
        <f>SUM(B35:B39)</f>
        <v>0</v>
      </c>
    </row>
  </sheetData>
  <mergeCells count="4">
    <mergeCell ref="B1:H1"/>
    <mergeCell ref="I1:O1"/>
    <mergeCell ref="P1:V1"/>
    <mergeCell ref="W1:AC1"/>
  </mergeCells>
  <conditionalFormatting sqref="B41">
    <cfRule type="cellIs" dxfId="14" priority="2" operator="greaterThan">
      <formula>0</formula>
    </cfRule>
  </conditionalFormatting>
  <conditionalFormatting sqref="B35:C39">
    <cfRule type="expression" dxfId="13" priority="1">
      <formula>$C35="Si"</formula>
    </cfRule>
  </conditionalFormatting>
  <conditionalFormatting sqref="B4:AD30">
    <cfRule type="expression" dxfId="12" priority="3">
      <formula>B4&lt;&gt;""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D2C65B-F740-467E-AFBC-1E118464C121}">
          <x14:formula1>
            <xm:f>'Datos - Axis'!$B$3:$B$15</xm:f>
          </x14:formula1>
          <xm:sqref>B27:B30 I17:I30 I9:I15 J9:AA30 E9:H30 C9:C30 B9:B25 D9:D15 D17:D30</xm:sqref>
        </x14:dataValidation>
        <x14:dataValidation type="list" allowBlank="1" showInputMessage="1" showErrorMessage="1" xr:uid="{075F22C8-5262-48B3-A73C-BF4AE8DB2D10}">
          <x14:formula1>
            <xm:f>'Datos - Axis'!$B$3:$B$19</xm:f>
          </x14:formula1>
          <xm:sqref>B4:C8 D8:E8 D4:D6 E4 E6 F7:F8 F4:F5 G4:H8 J4:AA8 I4:I6 I8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B52F-4B1C-477A-8F9C-F6BE32EC3D63}">
  <sheetPr codeName="Hoja15">
    <tabColor theme="7" tint="0.59999389629810485"/>
  </sheetPr>
  <dimension ref="A1:AH41"/>
  <sheetViews>
    <sheetView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J41" sqref="J41"/>
    </sheetView>
  </sheetViews>
  <sheetFormatPr baseColWidth="10" defaultRowHeight="15" x14ac:dyDescent="0.25"/>
  <cols>
    <col min="1" max="1" width="15.5703125" bestFit="1" customWidth="1"/>
    <col min="2" max="2" width="12" bestFit="1" customWidth="1"/>
    <col min="4" max="4" width="13.7109375" bestFit="1" customWidth="1"/>
    <col min="5" max="5" width="14.28515625" bestFit="1" customWidth="1"/>
    <col min="6" max="6" width="17.140625" bestFit="1" customWidth="1"/>
    <col min="7" max="7" width="7.28515625" hidden="1" customWidth="1"/>
    <col min="8" max="8" width="8.85546875" hidden="1" customWidth="1"/>
    <col min="9" max="9" width="13.7109375" bestFit="1" customWidth="1"/>
    <col min="14" max="15" width="11.42578125" hidden="1" customWidth="1"/>
    <col min="21" max="22" width="11.42578125" hidden="1" customWidth="1"/>
    <col min="28" max="29" width="11.42578125" hidden="1" customWidth="1"/>
  </cols>
  <sheetData>
    <row r="1" spans="1:34" x14ac:dyDescent="0.25">
      <c r="B1" s="280" t="s">
        <v>35</v>
      </c>
      <c r="C1" s="281"/>
      <c r="D1" s="281"/>
      <c r="E1" s="281"/>
      <c r="F1" s="281"/>
      <c r="G1" s="281"/>
      <c r="H1" s="282"/>
      <c r="I1" s="280" t="s">
        <v>36</v>
      </c>
      <c r="J1" s="281"/>
      <c r="K1" s="281"/>
      <c r="L1" s="281"/>
      <c r="M1" s="281"/>
      <c r="N1" s="281"/>
      <c r="O1" s="282"/>
      <c r="P1" s="280" t="s">
        <v>37</v>
      </c>
      <c r="Q1" s="281"/>
      <c r="R1" s="281"/>
      <c r="S1" s="281"/>
      <c r="T1" s="281"/>
      <c r="U1" s="281"/>
      <c r="V1" s="282"/>
      <c r="W1" s="280" t="s">
        <v>38</v>
      </c>
      <c r="X1" s="281"/>
      <c r="Y1" s="281"/>
      <c r="Z1" s="281"/>
      <c r="AA1" s="281"/>
      <c r="AB1" s="281"/>
      <c r="AC1" s="282"/>
      <c r="AD1" s="280" t="s">
        <v>39</v>
      </c>
      <c r="AE1" s="281"/>
      <c r="AF1" s="281"/>
      <c r="AG1" s="281"/>
      <c r="AH1" s="282"/>
    </row>
    <row r="2" spans="1:34" x14ac:dyDescent="0.25">
      <c r="B2" s="4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5" t="s">
        <v>27</v>
      </c>
      <c r="I2" s="4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5" t="s">
        <v>27</v>
      </c>
      <c r="P2" s="4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5" t="s">
        <v>27</v>
      </c>
      <c r="W2" s="4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21</v>
      </c>
      <c r="AC2" s="5" t="s">
        <v>22</v>
      </c>
      <c r="AD2" s="4" t="s">
        <v>23</v>
      </c>
      <c r="AE2" s="1" t="s">
        <v>24</v>
      </c>
      <c r="AF2" s="1" t="s">
        <v>25</v>
      </c>
      <c r="AG2" s="1" t="s">
        <v>26</v>
      </c>
      <c r="AH2" s="5" t="s">
        <v>27</v>
      </c>
    </row>
    <row r="3" spans="1:34" ht="15.75" thickBot="1" x14ac:dyDescent="0.3">
      <c r="A3" s="7"/>
      <c r="B3" s="8">
        <v>30</v>
      </c>
      <c r="C3" s="9">
        <v>1</v>
      </c>
      <c r="D3" s="9">
        <v>2</v>
      </c>
      <c r="E3" s="9">
        <v>3</v>
      </c>
      <c r="F3" s="10">
        <v>4</v>
      </c>
      <c r="G3" s="9">
        <v>5</v>
      </c>
      <c r="H3" s="10">
        <v>6</v>
      </c>
      <c r="I3" s="9">
        <v>7</v>
      </c>
      <c r="J3" s="9">
        <v>8</v>
      </c>
      <c r="K3" s="9">
        <v>9</v>
      </c>
      <c r="L3" s="9">
        <v>10</v>
      </c>
      <c r="M3" s="10">
        <v>11</v>
      </c>
      <c r="N3" s="9">
        <v>12</v>
      </c>
      <c r="O3" s="10">
        <v>13</v>
      </c>
      <c r="P3" s="9">
        <v>14</v>
      </c>
      <c r="Q3" s="9">
        <v>15</v>
      </c>
      <c r="R3" s="9">
        <v>16</v>
      </c>
      <c r="S3" s="9">
        <v>17</v>
      </c>
      <c r="T3" s="10">
        <v>18</v>
      </c>
      <c r="U3" s="9">
        <v>19</v>
      </c>
      <c r="V3" s="10">
        <v>20</v>
      </c>
      <c r="W3" s="9">
        <v>21</v>
      </c>
      <c r="X3" s="9">
        <v>22</v>
      </c>
      <c r="Y3" s="9">
        <v>23</v>
      </c>
      <c r="Z3" s="9">
        <v>24</v>
      </c>
      <c r="AA3" s="9">
        <v>25</v>
      </c>
      <c r="AB3" s="9">
        <v>26</v>
      </c>
      <c r="AC3" s="10">
        <v>27</v>
      </c>
      <c r="AD3" s="8">
        <v>28</v>
      </c>
      <c r="AE3" s="9">
        <v>29</v>
      </c>
      <c r="AF3" s="9">
        <v>30</v>
      </c>
      <c r="AG3" s="9">
        <v>31</v>
      </c>
      <c r="AH3" s="10">
        <v>1</v>
      </c>
    </row>
    <row r="4" spans="1:34" x14ac:dyDescent="0.25">
      <c r="A4" t="s">
        <v>40</v>
      </c>
      <c r="B4" s="37"/>
      <c r="C4" s="38"/>
      <c r="D4" s="38"/>
      <c r="E4" s="39"/>
      <c r="F4" s="38"/>
      <c r="G4" s="38"/>
      <c r="H4" s="40"/>
      <c r="I4" s="37"/>
      <c r="J4" s="38"/>
      <c r="K4" s="38"/>
      <c r="L4" s="38"/>
      <c r="M4" s="38"/>
      <c r="N4" s="38"/>
      <c r="O4" s="40"/>
      <c r="P4" s="37"/>
      <c r="Q4" s="38"/>
      <c r="R4" s="38"/>
      <c r="S4" s="38"/>
      <c r="T4" s="38"/>
      <c r="U4" s="38"/>
      <c r="V4" s="40"/>
      <c r="W4" s="37"/>
      <c r="X4" s="38"/>
      <c r="Y4" s="38"/>
      <c r="Z4" s="38"/>
      <c r="AA4" s="38"/>
      <c r="AB4" s="38"/>
      <c r="AC4" s="40"/>
      <c r="AD4" s="37"/>
      <c r="AE4" s="38"/>
      <c r="AF4" s="38"/>
      <c r="AG4" s="38"/>
      <c r="AH4" s="40"/>
    </row>
    <row r="5" spans="1:34" x14ac:dyDescent="0.25">
      <c r="A5" t="s">
        <v>41</v>
      </c>
      <c r="B5" s="37"/>
      <c r="C5" s="38"/>
      <c r="D5" s="38"/>
      <c r="E5" s="39"/>
      <c r="F5" s="39"/>
      <c r="G5" s="38"/>
      <c r="H5" s="40"/>
      <c r="I5" s="37"/>
      <c r="J5" s="38"/>
      <c r="K5" s="38"/>
      <c r="L5" s="38"/>
      <c r="M5" s="38"/>
      <c r="N5" s="38"/>
      <c r="O5" s="40"/>
      <c r="P5" s="37"/>
      <c r="Q5" s="38"/>
      <c r="R5" s="38"/>
      <c r="S5" s="38"/>
      <c r="T5" s="38"/>
      <c r="U5" s="38"/>
      <c r="V5" s="40"/>
      <c r="W5" s="37"/>
      <c r="X5" s="38"/>
      <c r="Y5" s="38"/>
      <c r="Z5" s="38"/>
      <c r="AA5" s="38"/>
      <c r="AB5" s="38"/>
      <c r="AC5" s="40"/>
      <c r="AD5" s="37"/>
      <c r="AE5" s="38"/>
      <c r="AF5" s="38"/>
      <c r="AG5" s="38"/>
      <c r="AH5" s="40"/>
    </row>
    <row r="6" spans="1:34" x14ac:dyDescent="0.25">
      <c r="A6" t="s">
        <v>42</v>
      </c>
      <c r="B6" s="37"/>
      <c r="C6" s="38"/>
      <c r="D6" s="39"/>
      <c r="E6" s="39"/>
      <c r="F6" s="39"/>
      <c r="G6" s="38"/>
      <c r="H6" s="40"/>
      <c r="I6" s="41"/>
      <c r="J6" s="38"/>
      <c r="K6" s="38"/>
      <c r="L6" s="38"/>
      <c r="M6" s="38"/>
      <c r="N6" s="38"/>
      <c r="O6" s="40"/>
      <c r="P6" s="37"/>
      <c r="Q6" s="38"/>
      <c r="R6" s="38"/>
      <c r="S6" s="38"/>
      <c r="T6" s="38"/>
      <c r="U6" s="38"/>
      <c r="V6" s="40"/>
      <c r="W6" s="37"/>
      <c r="X6" s="38"/>
      <c r="Y6" s="38"/>
      <c r="Z6" s="38"/>
      <c r="AA6" s="38"/>
      <c r="AB6" s="38"/>
      <c r="AC6" s="40"/>
      <c r="AD6" s="37"/>
      <c r="AE6" s="38"/>
      <c r="AF6" s="38"/>
      <c r="AG6" s="38"/>
      <c r="AH6" s="40"/>
    </row>
    <row r="7" spans="1:34" x14ac:dyDescent="0.25">
      <c r="A7" t="s">
        <v>43</v>
      </c>
      <c r="B7" s="37"/>
      <c r="C7" s="38"/>
      <c r="D7" s="39"/>
      <c r="E7" s="39"/>
      <c r="F7" s="38"/>
      <c r="G7" s="38"/>
      <c r="H7" s="40"/>
      <c r="I7" s="41"/>
      <c r="J7" s="38"/>
      <c r="K7" s="38"/>
      <c r="L7" s="38"/>
      <c r="M7" s="38"/>
      <c r="N7" s="38"/>
      <c r="O7" s="40"/>
      <c r="P7" s="37"/>
      <c r="Q7" s="38"/>
      <c r="R7" s="38"/>
      <c r="S7" s="38"/>
      <c r="T7" s="38"/>
      <c r="U7" s="38"/>
      <c r="V7" s="40"/>
      <c r="W7" s="37"/>
      <c r="X7" s="38"/>
      <c r="Y7" s="38"/>
      <c r="Z7" s="38"/>
      <c r="AA7" s="38"/>
      <c r="AB7" s="38"/>
      <c r="AC7" s="40"/>
      <c r="AD7" s="37"/>
      <c r="AE7" s="38"/>
      <c r="AF7" s="38"/>
      <c r="AG7" s="38"/>
      <c r="AH7" s="40"/>
    </row>
    <row r="8" spans="1:34" x14ac:dyDescent="0.25">
      <c r="A8" t="s">
        <v>65</v>
      </c>
      <c r="B8" s="37"/>
      <c r="C8" s="38"/>
      <c r="D8" s="38"/>
      <c r="E8" s="38"/>
      <c r="F8" s="38"/>
      <c r="G8" s="38"/>
      <c r="H8" s="40"/>
      <c r="I8" s="37"/>
      <c r="J8" s="38"/>
      <c r="K8" s="38"/>
      <c r="L8" s="38"/>
      <c r="M8" s="38"/>
      <c r="N8" s="38"/>
      <c r="O8" s="40"/>
      <c r="P8" s="37"/>
      <c r="Q8" s="38"/>
      <c r="R8" s="38"/>
      <c r="S8" s="38"/>
      <c r="T8" s="38"/>
      <c r="U8" s="38"/>
      <c r="V8" s="40"/>
      <c r="W8" s="37"/>
      <c r="X8" s="38"/>
      <c r="Y8" s="38"/>
      <c r="Z8" s="38"/>
      <c r="AA8" s="38"/>
      <c r="AB8" s="38"/>
      <c r="AC8" s="40"/>
      <c r="AD8" s="37"/>
      <c r="AE8" s="38"/>
      <c r="AF8" s="38"/>
      <c r="AG8" s="38"/>
      <c r="AH8" s="40"/>
    </row>
    <row r="9" spans="1:34" x14ac:dyDescent="0.25">
      <c r="A9" t="s">
        <v>66</v>
      </c>
      <c r="B9" s="37"/>
      <c r="C9" s="38"/>
      <c r="D9" s="38"/>
      <c r="E9" s="38"/>
      <c r="F9" s="38"/>
      <c r="G9" s="38"/>
      <c r="H9" s="40"/>
      <c r="I9" s="37"/>
      <c r="J9" s="38"/>
      <c r="K9" s="38"/>
      <c r="L9" s="38"/>
      <c r="M9" s="38"/>
      <c r="N9" s="38"/>
      <c r="O9" s="40"/>
      <c r="P9" s="37"/>
      <c r="Q9" s="38"/>
      <c r="R9" s="38"/>
      <c r="S9" s="38"/>
      <c r="T9" s="38"/>
      <c r="U9" s="38"/>
      <c r="V9" s="40"/>
      <c r="W9" s="37"/>
      <c r="X9" s="38"/>
      <c r="Y9" s="38"/>
      <c r="Z9" s="38"/>
      <c r="AA9" s="38"/>
      <c r="AB9" s="38"/>
      <c r="AC9" s="40"/>
      <c r="AD9" s="37"/>
      <c r="AE9" s="38"/>
      <c r="AF9" s="38"/>
      <c r="AG9" s="38"/>
      <c r="AH9" s="40"/>
    </row>
    <row r="10" spans="1:34" x14ac:dyDescent="0.25">
      <c r="A10" t="s">
        <v>44</v>
      </c>
      <c r="B10" s="37"/>
      <c r="C10" s="38"/>
      <c r="D10" s="38"/>
      <c r="E10" s="38"/>
      <c r="F10" s="38"/>
      <c r="G10" s="38"/>
      <c r="H10" s="40"/>
      <c r="I10" s="37"/>
      <c r="J10" s="38"/>
      <c r="K10" s="38"/>
      <c r="L10" s="38"/>
      <c r="M10" s="38"/>
      <c r="N10" s="38"/>
      <c r="O10" s="40"/>
      <c r="P10" s="37"/>
      <c r="Q10" s="38"/>
      <c r="R10" s="38"/>
      <c r="S10" s="38"/>
      <c r="T10" s="38"/>
      <c r="U10" s="38"/>
      <c r="V10" s="40"/>
      <c r="W10" s="37"/>
      <c r="X10" s="38"/>
      <c r="Y10" s="38"/>
      <c r="Z10" s="38"/>
      <c r="AA10" s="38"/>
      <c r="AB10" s="38"/>
      <c r="AC10" s="40"/>
      <c r="AD10" s="37"/>
      <c r="AE10" s="38"/>
      <c r="AF10" s="38"/>
      <c r="AG10" s="38"/>
      <c r="AH10" s="40"/>
    </row>
    <row r="11" spans="1:34" x14ac:dyDescent="0.25">
      <c r="A11" t="s">
        <v>45</v>
      </c>
      <c r="B11" s="37"/>
      <c r="C11" s="38"/>
      <c r="D11" s="38"/>
      <c r="E11" s="38"/>
      <c r="F11" s="38"/>
      <c r="G11" s="38"/>
      <c r="H11" s="40"/>
      <c r="I11" s="37"/>
      <c r="J11" s="38"/>
      <c r="K11" s="38"/>
      <c r="L11" s="38"/>
      <c r="M11" s="38"/>
      <c r="N11" s="38"/>
      <c r="O11" s="40"/>
      <c r="P11" s="37"/>
      <c r="Q11" s="38"/>
      <c r="R11" s="38"/>
      <c r="S11" s="38"/>
      <c r="T11" s="38"/>
      <c r="U11" s="38"/>
      <c r="V11" s="40"/>
      <c r="W11" s="37"/>
      <c r="X11" s="38"/>
      <c r="Y11" s="38"/>
      <c r="Z11" s="38"/>
      <c r="AA11" s="38"/>
      <c r="AB11" s="38"/>
      <c r="AC11" s="40"/>
      <c r="AD11" s="37"/>
      <c r="AE11" s="38"/>
      <c r="AF11" s="38"/>
      <c r="AG11" s="38"/>
      <c r="AH11" s="40"/>
    </row>
    <row r="12" spans="1:34" x14ac:dyDescent="0.25">
      <c r="A12" t="s">
        <v>46</v>
      </c>
      <c r="B12" s="37"/>
      <c r="C12" s="38"/>
      <c r="D12" s="38"/>
      <c r="E12" s="38"/>
      <c r="F12" s="38"/>
      <c r="G12" s="38"/>
      <c r="H12" s="40"/>
      <c r="I12" s="37"/>
      <c r="J12" s="38"/>
      <c r="K12" s="38"/>
      <c r="L12" s="38"/>
      <c r="M12" s="38"/>
      <c r="N12" s="38"/>
      <c r="O12" s="40"/>
      <c r="P12" s="37"/>
      <c r="Q12" s="38"/>
      <c r="R12" s="38"/>
      <c r="S12" s="38"/>
      <c r="T12" s="38"/>
      <c r="U12" s="38"/>
      <c r="V12" s="40"/>
      <c r="W12" s="37"/>
      <c r="X12" s="38"/>
      <c r="Y12" s="38"/>
      <c r="Z12" s="38"/>
      <c r="AA12" s="38"/>
      <c r="AB12" s="38"/>
      <c r="AC12" s="40"/>
      <c r="AD12" s="37"/>
      <c r="AE12" s="38"/>
      <c r="AF12" s="38"/>
      <c r="AG12" s="38"/>
      <c r="AH12" s="40"/>
    </row>
    <row r="13" spans="1:34" x14ac:dyDescent="0.25">
      <c r="A13" t="s">
        <v>47</v>
      </c>
      <c r="B13" s="37"/>
      <c r="C13" s="38"/>
      <c r="D13" s="38"/>
      <c r="E13" s="38"/>
      <c r="F13" s="38"/>
      <c r="G13" s="38"/>
      <c r="H13" s="40"/>
      <c r="I13" s="37"/>
      <c r="J13" s="38"/>
      <c r="K13" s="38"/>
      <c r="L13" s="38"/>
      <c r="M13" s="38"/>
      <c r="N13" s="38"/>
      <c r="O13" s="40"/>
      <c r="P13" s="37"/>
      <c r="Q13" s="38"/>
      <c r="R13" s="38"/>
      <c r="S13" s="38"/>
      <c r="T13" s="38"/>
      <c r="U13" s="38"/>
      <c r="V13" s="40"/>
      <c r="W13" s="37"/>
      <c r="X13" s="38"/>
      <c r="Y13" s="38"/>
      <c r="Z13" s="38"/>
      <c r="AA13" s="38"/>
      <c r="AB13" s="38"/>
      <c r="AC13" s="40"/>
      <c r="AD13" s="37"/>
      <c r="AE13" s="38"/>
      <c r="AF13" s="38"/>
      <c r="AG13" s="38"/>
      <c r="AH13" s="40"/>
    </row>
    <row r="14" spans="1:34" x14ac:dyDescent="0.25">
      <c r="A14" t="s">
        <v>48</v>
      </c>
      <c r="B14" s="37"/>
      <c r="C14" s="38"/>
      <c r="D14" s="38"/>
      <c r="E14" s="38"/>
      <c r="F14" s="38"/>
      <c r="G14" s="38"/>
      <c r="H14" s="40"/>
      <c r="I14" s="37"/>
      <c r="J14" s="38"/>
      <c r="K14" s="38"/>
      <c r="L14" s="38"/>
      <c r="M14" s="38"/>
      <c r="N14" s="38"/>
      <c r="O14" s="40"/>
      <c r="P14" s="37"/>
      <c r="Q14" s="38"/>
      <c r="R14" s="38"/>
      <c r="S14" s="38"/>
      <c r="T14" s="38"/>
      <c r="U14" s="38"/>
      <c r="V14" s="40"/>
      <c r="W14" s="37"/>
      <c r="X14" s="38"/>
      <c r="Y14" s="38"/>
      <c r="Z14" s="38"/>
      <c r="AA14" s="38"/>
      <c r="AB14" s="38"/>
      <c r="AC14" s="40"/>
      <c r="AD14" s="37"/>
      <c r="AE14" s="38"/>
      <c r="AF14" s="38"/>
      <c r="AG14" s="38"/>
      <c r="AH14" s="40"/>
    </row>
    <row r="15" spans="1:34" x14ac:dyDescent="0.25">
      <c r="A15" t="s">
        <v>49</v>
      </c>
      <c r="B15" s="37"/>
      <c r="C15" s="38"/>
      <c r="D15" s="39"/>
      <c r="E15" s="38"/>
      <c r="F15" s="40"/>
      <c r="G15" s="38"/>
      <c r="H15" s="38"/>
      <c r="I15" s="39"/>
      <c r="J15" s="38"/>
      <c r="K15" s="38"/>
      <c r="L15" s="38"/>
      <c r="M15" s="38"/>
      <c r="N15" s="38"/>
      <c r="O15" s="40"/>
      <c r="P15" s="37"/>
      <c r="Q15" s="38"/>
      <c r="R15" s="38"/>
      <c r="S15" s="38"/>
      <c r="T15" s="38"/>
      <c r="U15" s="38"/>
      <c r="V15" s="40"/>
      <c r="W15" s="37"/>
      <c r="X15" s="38"/>
      <c r="Y15" s="38"/>
      <c r="Z15" s="38"/>
      <c r="AA15" s="38"/>
      <c r="AB15" s="38"/>
      <c r="AC15" s="40"/>
      <c r="AD15" s="37"/>
      <c r="AE15" s="38"/>
      <c r="AF15" s="38"/>
      <c r="AG15" s="38"/>
      <c r="AH15" s="40"/>
    </row>
    <row r="16" spans="1:34" x14ac:dyDescent="0.25">
      <c r="A16" t="s">
        <v>50</v>
      </c>
      <c r="B16" s="37"/>
      <c r="C16" s="38"/>
      <c r="D16" s="39"/>
      <c r="E16" s="38"/>
      <c r="F16" s="40"/>
      <c r="G16" s="38"/>
      <c r="H16" s="38"/>
      <c r="I16" s="39"/>
      <c r="J16" s="38"/>
      <c r="K16" s="38"/>
      <c r="L16" s="38"/>
      <c r="M16" s="38"/>
      <c r="N16" s="38"/>
      <c r="O16" s="40"/>
      <c r="P16" s="37"/>
      <c r="Q16" s="38"/>
      <c r="R16" s="38"/>
      <c r="S16" s="38"/>
      <c r="T16" s="38"/>
      <c r="U16" s="38"/>
      <c r="V16" s="40"/>
      <c r="W16" s="37"/>
      <c r="X16" s="38"/>
      <c r="Y16" s="38"/>
      <c r="Z16" s="38"/>
      <c r="AA16" s="38"/>
      <c r="AB16" s="38"/>
      <c r="AC16" s="40"/>
      <c r="AD16" s="37"/>
      <c r="AE16" s="38"/>
      <c r="AF16" s="38"/>
      <c r="AG16" s="38"/>
      <c r="AH16" s="40"/>
    </row>
    <row r="17" spans="1:34" x14ac:dyDescent="0.25">
      <c r="A17" t="s">
        <v>51</v>
      </c>
      <c r="B17" s="37"/>
      <c r="C17" s="38"/>
      <c r="D17" s="38"/>
      <c r="E17" s="38"/>
      <c r="F17" s="38"/>
      <c r="G17" s="38"/>
      <c r="H17" s="40"/>
      <c r="I17" s="37"/>
      <c r="J17" s="38"/>
      <c r="K17" s="38"/>
      <c r="L17" s="38"/>
      <c r="M17" s="38"/>
      <c r="N17" s="38"/>
      <c r="O17" s="40"/>
      <c r="P17" s="37"/>
      <c r="Q17" s="38"/>
      <c r="R17" s="38"/>
      <c r="S17" s="38"/>
      <c r="T17" s="38"/>
      <c r="U17" s="38"/>
      <c r="V17" s="40"/>
      <c r="W17" s="37"/>
      <c r="X17" s="38"/>
      <c r="Y17" s="38"/>
      <c r="Z17" s="38"/>
      <c r="AA17" s="38"/>
      <c r="AB17" s="38"/>
      <c r="AC17" s="40"/>
      <c r="AD17" s="37"/>
      <c r="AE17" s="38"/>
      <c r="AF17" s="38"/>
      <c r="AG17" s="38"/>
      <c r="AH17" s="40"/>
    </row>
    <row r="18" spans="1:34" x14ac:dyDescent="0.25">
      <c r="A18" t="s">
        <v>52</v>
      </c>
      <c r="B18" s="37"/>
      <c r="C18" s="38"/>
      <c r="D18" s="38"/>
      <c r="E18" s="38"/>
      <c r="F18" s="38"/>
      <c r="G18" s="38"/>
      <c r="H18" s="40"/>
      <c r="I18" s="37"/>
      <c r="J18" s="38"/>
      <c r="K18" s="38"/>
      <c r="L18" s="38"/>
      <c r="M18" s="38"/>
      <c r="N18" s="38"/>
      <c r="O18" s="40"/>
      <c r="P18" s="37"/>
      <c r="Q18" s="38"/>
      <c r="R18" s="38"/>
      <c r="S18" s="38"/>
      <c r="T18" s="38"/>
      <c r="U18" s="38"/>
      <c r="V18" s="40"/>
      <c r="W18" s="37"/>
      <c r="X18" s="38"/>
      <c r="Y18" s="38"/>
      <c r="Z18" s="38"/>
      <c r="AA18" s="38"/>
      <c r="AB18" s="38"/>
      <c r="AC18" s="40"/>
      <c r="AD18" s="37"/>
      <c r="AE18" s="38"/>
      <c r="AF18" s="38"/>
      <c r="AG18" s="38"/>
      <c r="AH18" s="40"/>
    </row>
    <row r="19" spans="1:34" x14ac:dyDescent="0.25">
      <c r="A19" t="s">
        <v>53</v>
      </c>
      <c r="B19" s="37"/>
      <c r="C19" s="38"/>
      <c r="D19" s="38"/>
      <c r="E19" s="38"/>
      <c r="F19" s="38"/>
      <c r="G19" s="38"/>
      <c r="H19" s="40"/>
      <c r="I19" s="37"/>
      <c r="J19" s="38"/>
      <c r="K19" s="38"/>
      <c r="L19" s="38"/>
      <c r="M19" s="38"/>
      <c r="N19" s="38"/>
      <c r="O19" s="40"/>
      <c r="P19" s="37"/>
      <c r="Q19" s="38"/>
      <c r="R19" s="38"/>
      <c r="S19" s="38"/>
      <c r="T19" s="38"/>
      <c r="U19" s="38"/>
      <c r="V19" s="40"/>
      <c r="W19" s="37"/>
      <c r="X19" s="38"/>
      <c r="Y19" s="38"/>
      <c r="Z19" s="38"/>
      <c r="AA19" s="38"/>
      <c r="AB19" s="38"/>
      <c r="AC19" s="40"/>
      <c r="AD19" s="37"/>
      <c r="AE19" s="38"/>
      <c r="AF19" s="38"/>
      <c r="AG19" s="38"/>
      <c r="AH19" s="40"/>
    </row>
    <row r="20" spans="1:34" x14ac:dyDescent="0.25">
      <c r="A20" t="s">
        <v>54</v>
      </c>
      <c r="B20" s="37"/>
      <c r="C20" s="38"/>
      <c r="D20" s="38"/>
      <c r="E20" s="38"/>
      <c r="F20" s="38"/>
      <c r="G20" s="38"/>
      <c r="H20" s="40"/>
      <c r="I20" s="37"/>
      <c r="J20" s="38"/>
      <c r="K20" s="38"/>
      <c r="L20" s="38"/>
      <c r="M20" s="38"/>
      <c r="N20" s="38"/>
      <c r="O20" s="40"/>
      <c r="P20" s="37"/>
      <c r="Q20" s="38"/>
      <c r="R20" s="38"/>
      <c r="S20" s="38"/>
      <c r="T20" s="38"/>
      <c r="U20" s="38"/>
      <c r="V20" s="40"/>
      <c r="W20" s="37"/>
      <c r="X20" s="38"/>
      <c r="Y20" s="38"/>
      <c r="Z20" s="38"/>
      <c r="AA20" s="38"/>
      <c r="AB20" s="38"/>
      <c r="AC20" s="40"/>
      <c r="AD20" s="37"/>
      <c r="AE20" s="38"/>
      <c r="AF20" s="38"/>
      <c r="AG20" s="38"/>
      <c r="AH20" s="40"/>
    </row>
    <row r="21" spans="1:34" x14ac:dyDescent="0.25">
      <c r="A21" t="s">
        <v>55</v>
      </c>
      <c r="B21" s="37"/>
      <c r="C21" s="38"/>
      <c r="D21" s="38"/>
      <c r="E21" s="38"/>
      <c r="F21" s="38"/>
      <c r="G21" s="38"/>
      <c r="H21" s="40"/>
      <c r="I21" s="37"/>
      <c r="J21" s="38"/>
      <c r="K21" s="38"/>
      <c r="L21" s="38"/>
      <c r="M21" s="38"/>
      <c r="N21" s="38"/>
      <c r="O21" s="40"/>
      <c r="P21" s="37"/>
      <c r="Q21" s="38"/>
      <c r="R21" s="38"/>
      <c r="S21" s="38"/>
      <c r="T21" s="38"/>
      <c r="U21" s="38"/>
      <c r="V21" s="40"/>
      <c r="W21" s="37"/>
      <c r="X21" s="38"/>
      <c r="Y21" s="38"/>
      <c r="Z21" s="38"/>
      <c r="AA21" s="38"/>
      <c r="AB21" s="38"/>
      <c r="AC21" s="40"/>
      <c r="AD21" s="37"/>
      <c r="AE21" s="38"/>
      <c r="AF21" s="38"/>
      <c r="AG21" s="38"/>
      <c r="AH21" s="40"/>
    </row>
    <row r="22" spans="1:34" x14ac:dyDescent="0.25">
      <c r="A22" t="s">
        <v>56</v>
      </c>
      <c r="B22" s="37"/>
      <c r="C22" s="38"/>
      <c r="D22" s="38"/>
      <c r="E22" s="38"/>
      <c r="F22" s="38"/>
      <c r="G22" s="38"/>
      <c r="H22" s="40"/>
      <c r="I22" s="37"/>
      <c r="J22" s="38"/>
      <c r="K22" s="38"/>
      <c r="L22" s="38"/>
      <c r="M22" s="38"/>
      <c r="N22" s="38"/>
      <c r="O22" s="40"/>
      <c r="P22" s="37"/>
      <c r="Q22" s="38"/>
      <c r="R22" s="38"/>
      <c r="S22" s="38"/>
      <c r="T22" s="38"/>
      <c r="U22" s="38"/>
      <c r="V22" s="40"/>
      <c r="W22" s="37"/>
      <c r="X22" s="38"/>
      <c r="Y22" s="38"/>
      <c r="Z22" s="38"/>
      <c r="AA22" s="38"/>
      <c r="AB22" s="38"/>
      <c r="AC22" s="40"/>
      <c r="AD22" s="37"/>
      <c r="AE22" s="38"/>
      <c r="AF22" s="38"/>
      <c r="AG22" s="38"/>
      <c r="AH22" s="40"/>
    </row>
    <row r="23" spans="1:34" x14ac:dyDescent="0.25">
      <c r="A23" t="s">
        <v>57</v>
      </c>
      <c r="B23" s="37"/>
      <c r="C23" s="38"/>
      <c r="D23" s="38"/>
      <c r="E23" s="38"/>
      <c r="F23" s="38"/>
      <c r="G23" s="38"/>
      <c r="H23" s="40"/>
      <c r="I23" s="37"/>
      <c r="J23" s="38"/>
      <c r="K23" s="38"/>
      <c r="L23" s="38"/>
      <c r="M23" s="38"/>
      <c r="N23" s="38"/>
      <c r="O23" s="40"/>
      <c r="P23" s="37"/>
      <c r="Q23" s="38"/>
      <c r="R23" s="38"/>
      <c r="S23" s="38"/>
      <c r="T23" s="38"/>
      <c r="U23" s="38"/>
      <c r="V23" s="40"/>
      <c r="W23" s="37"/>
      <c r="X23" s="38"/>
      <c r="Y23" s="38"/>
      <c r="Z23" s="38"/>
      <c r="AA23" s="38"/>
      <c r="AB23" s="38"/>
      <c r="AC23" s="40"/>
      <c r="AD23" s="37"/>
      <c r="AE23" s="38"/>
      <c r="AF23" s="38"/>
      <c r="AG23" s="38"/>
      <c r="AH23" s="40"/>
    </row>
    <row r="24" spans="1:34" x14ac:dyDescent="0.25">
      <c r="A24" t="s">
        <v>58</v>
      </c>
      <c r="B24" s="37"/>
      <c r="C24" s="38"/>
      <c r="D24" s="38"/>
      <c r="E24" s="38"/>
      <c r="F24" s="38"/>
      <c r="G24" s="38"/>
      <c r="H24" s="40"/>
      <c r="I24" s="37"/>
      <c r="J24" s="38"/>
      <c r="K24" s="38"/>
      <c r="L24" s="38"/>
      <c r="M24" s="38"/>
      <c r="N24" s="38"/>
      <c r="O24" s="40"/>
      <c r="P24" s="37"/>
      <c r="Q24" s="38"/>
      <c r="R24" s="38"/>
      <c r="S24" s="38"/>
      <c r="T24" s="38"/>
      <c r="U24" s="38"/>
      <c r="V24" s="40"/>
      <c r="W24" s="37"/>
      <c r="X24" s="38"/>
      <c r="Y24" s="38"/>
      <c r="Z24" s="38"/>
      <c r="AA24" s="38"/>
      <c r="AB24" s="38"/>
      <c r="AC24" s="40"/>
      <c r="AD24" s="37"/>
      <c r="AE24" s="38"/>
      <c r="AF24" s="38"/>
      <c r="AG24" s="38"/>
      <c r="AH24" s="40"/>
    </row>
    <row r="25" spans="1:34" x14ac:dyDescent="0.25">
      <c r="A25" t="s">
        <v>59</v>
      </c>
      <c r="B25" s="41"/>
      <c r="C25" s="38"/>
      <c r="D25" s="38"/>
      <c r="E25" s="38"/>
      <c r="F25" s="38"/>
      <c r="G25" s="38"/>
      <c r="H25" s="40"/>
      <c r="I25" s="37"/>
      <c r="J25" s="38"/>
      <c r="K25" s="38"/>
      <c r="L25" s="38"/>
      <c r="M25" s="38"/>
      <c r="N25" s="38"/>
      <c r="O25" s="40"/>
      <c r="P25" s="37"/>
      <c r="Q25" s="38"/>
      <c r="R25" s="38"/>
      <c r="S25" s="38"/>
      <c r="T25" s="38"/>
      <c r="U25" s="38"/>
      <c r="V25" s="40"/>
      <c r="W25" s="37"/>
      <c r="X25" s="38"/>
      <c r="Y25" s="38"/>
      <c r="Z25" s="38"/>
      <c r="AA25" s="38"/>
      <c r="AB25" s="38"/>
      <c r="AC25" s="40"/>
      <c r="AD25" s="37"/>
      <c r="AE25" s="38"/>
      <c r="AF25" s="38"/>
      <c r="AG25" s="38"/>
      <c r="AH25" s="40"/>
    </row>
    <row r="26" spans="1:34" x14ac:dyDescent="0.25">
      <c r="A26" t="s">
        <v>60</v>
      </c>
      <c r="B26" s="41"/>
      <c r="C26" s="38"/>
      <c r="D26" s="38"/>
      <c r="E26" s="38"/>
      <c r="F26" s="38"/>
      <c r="G26" s="38"/>
      <c r="H26" s="40"/>
      <c r="I26" s="37"/>
      <c r="J26" s="38"/>
      <c r="K26" s="38"/>
      <c r="L26" s="38"/>
      <c r="M26" s="38"/>
      <c r="N26" s="38"/>
      <c r="O26" s="40"/>
      <c r="P26" s="37"/>
      <c r="Q26" s="38"/>
      <c r="R26" s="38"/>
      <c r="S26" s="38"/>
      <c r="T26" s="38"/>
      <c r="U26" s="38"/>
      <c r="V26" s="40"/>
      <c r="W26" s="37"/>
      <c r="X26" s="38"/>
      <c r="Y26" s="38"/>
      <c r="Z26" s="38"/>
      <c r="AA26" s="38"/>
      <c r="AB26" s="38"/>
      <c r="AC26" s="40"/>
      <c r="AD26" s="37"/>
      <c r="AE26" s="38"/>
      <c r="AF26" s="38"/>
      <c r="AG26" s="38"/>
      <c r="AH26" s="40"/>
    </row>
    <row r="27" spans="1:34" x14ac:dyDescent="0.25">
      <c r="A27" t="s">
        <v>61</v>
      </c>
      <c r="B27" s="37"/>
      <c r="C27" s="38"/>
      <c r="D27" s="38"/>
      <c r="E27" s="38"/>
      <c r="F27" s="38"/>
      <c r="G27" s="38"/>
      <c r="H27" s="40"/>
      <c r="I27" s="37"/>
      <c r="J27" s="38"/>
      <c r="K27" s="38"/>
      <c r="L27" s="38"/>
      <c r="M27" s="38"/>
      <c r="N27" s="38"/>
      <c r="O27" s="40"/>
      <c r="P27" s="37"/>
      <c r="Q27" s="38"/>
      <c r="R27" s="38"/>
      <c r="S27" s="38"/>
      <c r="T27" s="38"/>
      <c r="U27" s="38"/>
      <c r="V27" s="40"/>
      <c r="W27" s="37"/>
      <c r="X27" s="38"/>
      <c r="Y27" s="38"/>
      <c r="Z27" s="38"/>
      <c r="AA27" s="38"/>
      <c r="AB27" s="38"/>
      <c r="AC27" s="40"/>
      <c r="AD27" s="37"/>
      <c r="AE27" s="38"/>
      <c r="AF27" s="38"/>
      <c r="AG27" s="38"/>
      <c r="AH27" s="40"/>
    </row>
    <row r="28" spans="1:34" x14ac:dyDescent="0.25">
      <c r="A28" t="s">
        <v>62</v>
      </c>
      <c r="B28" s="37"/>
      <c r="C28" s="38"/>
      <c r="D28" s="38"/>
      <c r="E28" s="38"/>
      <c r="F28" s="38"/>
      <c r="G28" s="38"/>
      <c r="H28" s="40"/>
      <c r="I28" s="37"/>
      <c r="J28" s="38"/>
      <c r="K28" s="38"/>
      <c r="L28" s="38"/>
      <c r="M28" s="38"/>
      <c r="N28" s="38"/>
      <c r="O28" s="40"/>
      <c r="P28" s="37"/>
      <c r="Q28" s="38"/>
      <c r="R28" s="38"/>
      <c r="S28" s="38"/>
      <c r="T28" s="38"/>
      <c r="U28" s="38"/>
      <c r="V28" s="40"/>
      <c r="W28" s="37"/>
      <c r="X28" s="38"/>
      <c r="Y28" s="38"/>
      <c r="Z28" s="38"/>
      <c r="AA28" s="38"/>
      <c r="AB28" s="38"/>
      <c r="AC28" s="40"/>
      <c r="AD28" s="37"/>
      <c r="AE28" s="38"/>
      <c r="AF28" s="38"/>
      <c r="AG28" s="38"/>
      <c r="AH28" s="40"/>
    </row>
    <row r="29" spans="1:34" x14ac:dyDescent="0.25">
      <c r="A29" t="s">
        <v>63</v>
      </c>
      <c r="B29" s="37"/>
      <c r="C29" s="38"/>
      <c r="D29" s="38"/>
      <c r="E29" s="38"/>
      <c r="F29" s="38"/>
      <c r="G29" s="38"/>
      <c r="H29" s="40"/>
      <c r="I29" s="37"/>
      <c r="J29" s="38"/>
      <c r="K29" s="38"/>
      <c r="L29" s="38"/>
      <c r="M29" s="38"/>
      <c r="N29" s="38"/>
      <c r="O29" s="40"/>
      <c r="P29" s="37"/>
      <c r="Q29" s="38"/>
      <c r="R29" s="38"/>
      <c r="S29" s="38"/>
      <c r="T29" s="38"/>
      <c r="U29" s="38"/>
      <c r="V29" s="40"/>
      <c r="W29" s="37"/>
      <c r="X29" s="38"/>
      <c r="Y29" s="38"/>
      <c r="Z29" s="38"/>
      <c r="AA29" s="38"/>
      <c r="AB29" s="38"/>
      <c r="AC29" s="40"/>
      <c r="AD29" s="37"/>
      <c r="AE29" s="38"/>
      <c r="AF29" s="38"/>
      <c r="AG29" s="38"/>
      <c r="AH29" s="40"/>
    </row>
    <row r="30" spans="1:34" ht="15.75" thickBot="1" x14ac:dyDescent="0.3">
      <c r="A30" s="7" t="s">
        <v>64</v>
      </c>
      <c r="B30" s="42"/>
      <c r="C30" s="43"/>
      <c r="D30" s="43"/>
      <c r="E30" s="43"/>
      <c r="F30" s="43"/>
      <c r="G30" s="43"/>
      <c r="H30" s="44"/>
      <c r="I30" s="42"/>
      <c r="J30" s="43"/>
      <c r="K30" s="43"/>
      <c r="L30" s="43"/>
      <c r="M30" s="43"/>
      <c r="N30" s="43"/>
      <c r="O30" s="44"/>
      <c r="P30" s="42"/>
      <c r="Q30" s="43"/>
      <c r="R30" s="43"/>
      <c r="S30" s="43"/>
      <c r="T30" s="43"/>
      <c r="U30" s="43"/>
      <c r="V30" s="44"/>
      <c r="W30" s="42"/>
      <c r="X30" s="43"/>
      <c r="Y30" s="43"/>
      <c r="Z30" s="43"/>
      <c r="AA30" s="43"/>
      <c r="AB30" s="43"/>
      <c r="AC30" s="44"/>
      <c r="AD30" s="42"/>
      <c r="AE30" s="43"/>
      <c r="AF30" s="43"/>
      <c r="AG30" s="43"/>
      <c r="AH30" s="44"/>
    </row>
    <row r="34" spans="1:6" ht="15.75" thickBot="1" x14ac:dyDescent="0.3">
      <c r="A34" s="36" t="s">
        <v>74</v>
      </c>
      <c r="B34" s="16" t="s">
        <v>69</v>
      </c>
      <c r="C34" s="16" t="s">
        <v>75</v>
      </c>
    </row>
    <row r="35" spans="1:6" x14ac:dyDescent="0.25">
      <c r="A35">
        <v>1</v>
      </c>
      <c r="B35" s="3" cm="1">
        <f t="array" ref="B35">SUMPRODUCT(($B$4:$F$30&lt;&gt;"")*SUMIF('Datos - Axis'!$B$3:$B$21,$B$4:$F$30,'Datos - Axis'!$E$3:$E$21))</f>
        <v>0</v>
      </c>
      <c r="C35" s="1" t="s">
        <v>32</v>
      </c>
      <c r="D35" s="14"/>
      <c r="E35" s="14"/>
      <c r="F35" s="14"/>
    </row>
    <row r="36" spans="1:6" x14ac:dyDescent="0.25">
      <c r="A36">
        <v>2</v>
      </c>
      <c r="B36" s="3" cm="1">
        <f t="array" ref="B36">SUMPRODUCT(($I$4:$M$30&lt;&gt;"")*SUMIF('Datos - Axis'!$B$3:$B$21,$I$4:$M$30,'Datos - Axis'!$E$3:$E$21))</f>
        <v>0</v>
      </c>
      <c r="C36" s="1" t="s">
        <v>32</v>
      </c>
    </row>
    <row r="37" spans="1:6" x14ac:dyDescent="0.25">
      <c r="A37">
        <v>3</v>
      </c>
      <c r="B37" s="3" cm="1">
        <f t="array" ref="B37">SUMPRODUCT(($P$4:$T$30&lt;&gt;"")*SUMIF('Datos - Axis'!$B$3:$B$21,$P$4:$T$30,'Datos - Axis'!$E$3:$E$21))</f>
        <v>0</v>
      </c>
      <c r="C37" s="1" t="s">
        <v>32</v>
      </c>
    </row>
    <row r="38" spans="1:6" x14ac:dyDescent="0.25">
      <c r="A38">
        <v>4</v>
      </c>
      <c r="B38" s="3" cm="1">
        <f t="array" ref="B38">SUMPRODUCT(($W$4:$AA$30&lt;&gt;"")*SUMIF('Datos - Axis'!$B$3:$B$21,$W$4:$AA$30,'Datos - Axis'!$E$3:$E$21))</f>
        <v>0</v>
      </c>
      <c r="C38" s="1" t="s">
        <v>32</v>
      </c>
    </row>
    <row r="39" spans="1:6" x14ac:dyDescent="0.25">
      <c r="A39">
        <v>5</v>
      </c>
      <c r="B39" s="3" cm="1">
        <f t="array" ref="B39">SUMPRODUCT(($AD$4:$AH$30&lt;&gt;"")*SUMIF('Datos - Axis'!$B$3:$B$21,$AD$4:$AH$30,'Datos - Axis'!$E$3:$E$21))</f>
        <v>0</v>
      </c>
      <c r="C39" s="1" t="s">
        <v>32</v>
      </c>
    </row>
    <row r="41" spans="1:6" x14ac:dyDescent="0.25">
      <c r="A41" s="11" t="s">
        <v>76</v>
      </c>
      <c r="B41" s="23">
        <f>SUM(B35:B39)</f>
        <v>0</v>
      </c>
    </row>
  </sheetData>
  <mergeCells count="5">
    <mergeCell ref="B1:H1"/>
    <mergeCell ref="I1:O1"/>
    <mergeCell ref="P1:V1"/>
    <mergeCell ref="W1:AC1"/>
    <mergeCell ref="AD1:AH1"/>
  </mergeCells>
  <conditionalFormatting sqref="B41">
    <cfRule type="cellIs" dxfId="11" priority="3" operator="greaterThan">
      <formula>0</formula>
    </cfRule>
  </conditionalFormatting>
  <conditionalFormatting sqref="B35:C39">
    <cfRule type="expression" dxfId="10" priority="1">
      <formula>$C35="Si"</formula>
    </cfRule>
  </conditionalFormatting>
  <conditionalFormatting sqref="B4:AH30">
    <cfRule type="expression" dxfId="9" priority="6">
      <formula>B4&lt;&gt;""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7502E6-6E45-4E50-B56E-658A21BE1375}">
          <x14:formula1>
            <xm:f>'Datos - Axis'!$B$3:$B$19</xm:f>
          </x14:formula1>
          <xm:sqref>B4:C8 D8:E8 D4:D6 E4 E6 F7:F8 F4:F5 G4:H8 J4:AA8 I4:I6 I8</xm:sqref>
        </x14:dataValidation>
        <x14:dataValidation type="list" allowBlank="1" showInputMessage="1" showErrorMessage="1" xr:uid="{09058081-8E0F-4F22-BDF2-1F44B12178C8}">
          <x14:formula1>
            <xm:f>'Datos - Axis'!$B$3:$B$15</xm:f>
          </x14:formula1>
          <xm:sqref>B27:B30 I17:I30 I9:I15 J9:AA30 E9:H30 C9:C30 B9:B25 D9:D15 D17:D30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0CCA-DD62-4111-94C8-4A8143D0B337}">
  <sheetPr codeName="Hoja16">
    <tabColor theme="6"/>
  </sheetPr>
  <dimension ref="A1:O46"/>
  <sheetViews>
    <sheetView workbookViewId="0">
      <pane ySplit="3" topLeftCell="A13" activePane="bottomLeft" state="frozen"/>
      <selection pane="bottomLeft" activeCell="N32" sqref="N32"/>
    </sheetView>
  </sheetViews>
  <sheetFormatPr baseColWidth="10" defaultRowHeight="15" x14ac:dyDescent="0.25"/>
  <cols>
    <col min="5" max="5" width="17" style="1" bestFit="1" customWidth="1"/>
    <col min="6" max="6" width="18.140625" bestFit="1" customWidth="1"/>
    <col min="7" max="8" width="14.7109375" customWidth="1"/>
    <col min="9" max="9" width="12" bestFit="1" customWidth="1"/>
    <col min="10" max="10" width="14.7109375" bestFit="1" customWidth="1"/>
    <col min="11" max="11" width="14.5703125" bestFit="1" customWidth="1"/>
    <col min="13" max="13" width="12" bestFit="1" customWidth="1"/>
    <col min="14" max="14" width="12.140625" bestFit="1" customWidth="1"/>
    <col min="15" max="15" width="14.5703125" bestFit="1" customWidth="1"/>
  </cols>
  <sheetData>
    <row r="1" spans="1:15" ht="15.75" thickBot="1" x14ac:dyDescent="0.3">
      <c r="A1" s="45" t="s">
        <v>78</v>
      </c>
      <c r="B1" s="45" t="s">
        <v>0</v>
      </c>
      <c r="C1" s="45" t="s">
        <v>83</v>
      </c>
      <c r="D1" s="46" t="s">
        <v>98</v>
      </c>
      <c r="E1" s="45" t="s">
        <v>85</v>
      </c>
      <c r="F1" s="45" t="s">
        <v>99</v>
      </c>
      <c r="G1" s="48" t="s">
        <v>187</v>
      </c>
      <c r="H1" s="48" t="s">
        <v>188</v>
      </c>
      <c r="I1" s="48" t="s">
        <v>105</v>
      </c>
      <c r="J1" s="48" t="s">
        <v>100</v>
      </c>
      <c r="N1" s="59" t="s">
        <v>86</v>
      </c>
    </row>
    <row r="2" spans="1:15" hidden="1" x14ac:dyDescent="0.25">
      <c r="A2" s="1">
        <v>2024</v>
      </c>
      <c r="B2" s="1" t="s">
        <v>10</v>
      </c>
      <c r="C2" s="1"/>
      <c r="N2" s="59" t="s">
        <v>87</v>
      </c>
    </row>
    <row r="3" spans="1:15" hidden="1" x14ac:dyDescent="0.25">
      <c r="A3" s="1">
        <v>2024</v>
      </c>
      <c r="B3" s="1" t="s">
        <v>11</v>
      </c>
      <c r="C3" s="1"/>
      <c r="N3" s="59" t="s">
        <v>88</v>
      </c>
    </row>
    <row r="4" spans="1:15" x14ac:dyDescent="0.25">
      <c r="A4" s="1">
        <v>2024</v>
      </c>
      <c r="B4" s="1" t="s">
        <v>12</v>
      </c>
      <c r="C4" s="1" t="s">
        <v>86</v>
      </c>
      <c r="D4" s="3">
        <v>2801</v>
      </c>
      <c r="E4" s="47">
        <v>60</v>
      </c>
      <c r="F4" s="14">
        <f>D4*E4</f>
        <v>168060</v>
      </c>
      <c r="G4" s="56"/>
      <c r="H4" s="56"/>
      <c r="I4" s="56" t="str">
        <f t="shared" ref="I4:I13" si="0">IF(OR(B4="junio",B4="diciembre"),J4-F4,"")</f>
        <v/>
      </c>
      <c r="J4" s="56"/>
      <c r="N4" s="59" t="s">
        <v>87</v>
      </c>
    </row>
    <row r="5" spans="1:15" x14ac:dyDescent="0.25">
      <c r="A5" s="1">
        <v>2024</v>
      </c>
      <c r="B5" s="1" t="s">
        <v>1</v>
      </c>
      <c r="C5" s="1" t="s">
        <v>86</v>
      </c>
      <c r="D5" s="3">
        <v>3489</v>
      </c>
      <c r="E5" s="47">
        <v>75</v>
      </c>
      <c r="F5" s="14">
        <f t="shared" ref="F5:F41" si="1">D5*E5</f>
        <v>261675</v>
      </c>
      <c r="G5" s="56"/>
      <c r="H5" s="56"/>
      <c r="I5" s="56" t="str">
        <f t="shared" si="0"/>
        <v/>
      </c>
      <c r="J5" s="56"/>
      <c r="N5" s="59" t="s">
        <v>88</v>
      </c>
    </row>
    <row r="6" spans="1:15" x14ac:dyDescent="0.25">
      <c r="A6" s="1">
        <v>2024</v>
      </c>
      <c r="B6" s="1" t="s">
        <v>13</v>
      </c>
      <c r="C6" s="1" t="s">
        <v>86</v>
      </c>
      <c r="D6" s="3">
        <v>3796</v>
      </c>
      <c r="E6" s="1">
        <v>74</v>
      </c>
      <c r="F6" s="14">
        <f t="shared" si="1"/>
        <v>280904</v>
      </c>
      <c r="G6" s="56"/>
      <c r="H6" s="56"/>
      <c r="I6" s="56" t="str">
        <f t="shared" si="0"/>
        <v/>
      </c>
      <c r="J6" s="56"/>
      <c r="N6" s="59" t="s">
        <v>89</v>
      </c>
    </row>
    <row r="7" spans="1:15" x14ac:dyDescent="0.25">
      <c r="A7" s="1">
        <v>2024</v>
      </c>
      <c r="B7" s="1" t="s">
        <v>14</v>
      </c>
      <c r="C7" s="1" t="s">
        <v>86</v>
      </c>
      <c r="D7" s="3">
        <v>3948</v>
      </c>
      <c r="E7" s="1">
        <v>64</v>
      </c>
      <c r="F7" s="14">
        <f t="shared" si="1"/>
        <v>252672</v>
      </c>
      <c r="G7" s="56"/>
      <c r="H7" s="56"/>
      <c r="I7" s="56">
        <f t="shared" si="0"/>
        <v>-252672</v>
      </c>
      <c r="J7" s="56"/>
      <c r="N7" s="59" t="s">
        <v>90</v>
      </c>
    </row>
    <row r="8" spans="1:15" x14ac:dyDescent="0.25">
      <c r="A8" s="1">
        <v>2024</v>
      </c>
      <c r="B8" s="1" t="s">
        <v>15</v>
      </c>
      <c r="C8" s="1" t="s">
        <v>86</v>
      </c>
      <c r="D8" s="3">
        <v>4133</v>
      </c>
      <c r="E8" s="1">
        <v>91.5</v>
      </c>
      <c r="F8" s="14">
        <f t="shared" si="1"/>
        <v>378169.5</v>
      </c>
      <c r="G8" s="56"/>
      <c r="H8" s="56"/>
      <c r="I8" s="56" t="str">
        <f t="shared" si="0"/>
        <v/>
      </c>
      <c r="J8" s="56"/>
      <c r="N8" s="59" t="s">
        <v>91</v>
      </c>
    </row>
    <row r="9" spans="1:15" x14ac:dyDescent="0.25">
      <c r="A9" s="1">
        <v>2024</v>
      </c>
      <c r="B9" s="1" t="s">
        <v>16</v>
      </c>
      <c r="C9" s="1" t="s">
        <v>86</v>
      </c>
      <c r="D9" s="3">
        <v>4294</v>
      </c>
      <c r="E9" s="1">
        <v>112</v>
      </c>
      <c r="F9" s="14">
        <f t="shared" si="1"/>
        <v>480928</v>
      </c>
      <c r="G9" s="56"/>
      <c r="H9" s="56"/>
      <c r="I9" s="56" t="str">
        <f t="shared" si="0"/>
        <v/>
      </c>
      <c r="J9" s="56"/>
      <c r="N9" s="59" t="s">
        <v>92</v>
      </c>
    </row>
    <row r="10" spans="1:15" x14ac:dyDescent="0.25">
      <c r="A10" s="1">
        <v>2024</v>
      </c>
      <c r="B10" s="1" t="s">
        <v>17</v>
      </c>
      <c r="C10" s="1" t="s">
        <v>86</v>
      </c>
      <c r="D10" s="3">
        <v>4462</v>
      </c>
      <c r="E10" s="1">
        <v>106.5</v>
      </c>
      <c r="F10" s="14">
        <f t="shared" si="1"/>
        <v>475203</v>
      </c>
      <c r="G10" s="56"/>
      <c r="H10" s="56"/>
      <c r="I10" s="56" t="str">
        <f t="shared" si="0"/>
        <v/>
      </c>
      <c r="J10" s="56"/>
      <c r="N10" s="59" t="s">
        <v>93</v>
      </c>
    </row>
    <row r="11" spans="1:15" x14ac:dyDescent="0.25">
      <c r="A11" s="1">
        <v>2024</v>
      </c>
      <c r="B11" s="1" t="s">
        <v>18</v>
      </c>
      <c r="C11" s="1" t="s">
        <v>86</v>
      </c>
      <c r="D11" s="3">
        <v>4605</v>
      </c>
      <c r="E11" s="1">
        <v>120.5</v>
      </c>
      <c r="F11" s="14">
        <f t="shared" si="1"/>
        <v>554902.5</v>
      </c>
      <c r="G11" s="56"/>
      <c r="H11" s="56"/>
      <c r="I11" s="56" t="str">
        <f t="shared" si="0"/>
        <v/>
      </c>
      <c r="J11" s="56"/>
      <c r="N11" s="59" t="s">
        <v>94</v>
      </c>
    </row>
    <row r="12" spans="1:15" x14ac:dyDescent="0.25">
      <c r="A12" s="1">
        <v>2024</v>
      </c>
      <c r="B12" s="1" t="s">
        <v>19</v>
      </c>
      <c r="C12" s="1" t="s">
        <v>86</v>
      </c>
      <c r="D12" s="3">
        <v>4724</v>
      </c>
      <c r="E12" s="1">
        <v>110</v>
      </c>
      <c r="F12" s="14">
        <f t="shared" si="1"/>
        <v>519640</v>
      </c>
      <c r="G12" s="56"/>
      <c r="H12" s="56"/>
      <c r="I12" s="56" t="str">
        <f t="shared" si="0"/>
        <v/>
      </c>
      <c r="J12" s="56"/>
    </row>
    <row r="13" spans="1:15" ht="15.75" thickBot="1" x14ac:dyDescent="0.3">
      <c r="A13" s="1">
        <v>2024</v>
      </c>
      <c r="B13" s="1" t="s">
        <v>20</v>
      </c>
      <c r="C13" s="1" t="s">
        <v>86</v>
      </c>
      <c r="D13" s="3">
        <v>4833</v>
      </c>
      <c r="E13" s="1">
        <v>127.5</v>
      </c>
      <c r="F13" s="14">
        <f t="shared" si="1"/>
        <v>616207.5</v>
      </c>
      <c r="G13" s="18"/>
      <c r="H13" s="18"/>
      <c r="I13" s="56">
        <f t="shared" si="0"/>
        <v>-616207.5</v>
      </c>
      <c r="J13" s="18"/>
    </row>
    <row r="14" spans="1:15" ht="15.75" thickBot="1" x14ac:dyDescent="0.3">
      <c r="A14" s="49" t="s">
        <v>82</v>
      </c>
      <c r="B14" s="49">
        <v>10</v>
      </c>
      <c r="C14" s="49"/>
      <c r="D14" s="51">
        <f>AVERAGE(D2:D13)</f>
        <v>4108.5</v>
      </c>
      <c r="E14" s="50">
        <f>SUM(E4:E13)</f>
        <v>941</v>
      </c>
      <c r="F14" s="58">
        <f>SUM(F4:F13)</f>
        <v>3988361.5</v>
      </c>
      <c r="G14" s="58"/>
      <c r="H14" s="58"/>
      <c r="I14" s="58"/>
      <c r="J14" s="58">
        <f>SUM(J4:J13)</f>
        <v>0</v>
      </c>
    </row>
    <row r="15" spans="1:15" x14ac:dyDescent="0.25">
      <c r="A15" s="1"/>
      <c r="B15" s="1"/>
      <c r="C15" s="1"/>
      <c r="D15" s="3"/>
      <c r="F15" s="14"/>
      <c r="G15" s="14"/>
      <c r="H15" s="14"/>
      <c r="I15" s="14"/>
      <c r="J15" s="14"/>
      <c r="N15" s="59"/>
    </row>
    <row r="16" spans="1:15" ht="15.75" thickBot="1" x14ac:dyDescent="0.3">
      <c r="A16" s="1">
        <v>2025</v>
      </c>
      <c r="B16" s="1" t="s">
        <v>10</v>
      </c>
      <c r="C16" s="1" t="s">
        <v>86</v>
      </c>
      <c r="D16" s="3">
        <v>4833</v>
      </c>
      <c r="E16" s="1">
        <v>86</v>
      </c>
      <c r="F16" s="57">
        <f t="shared" si="1"/>
        <v>415638</v>
      </c>
      <c r="G16" s="56"/>
      <c r="H16" s="56"/>
      <c r="I16" s="56" t="str">
        <f t="shared" ref="I16:I27" si="2">IF(OR(B16="junio",B16="diciembre"),J16-F16,"")</f>
        <v/>
      </c>
      <c r="J16" s="56">
        <v>280269.61</v>
      </c>
      <c r="L16" s="64" t="s">
        <v>105</v>
      </c>
      <c r="M16" s="64" t="s">
        <v>84</v>
      </c>
      <c r="N16" s="64" t="s">
        <v>106</v>
      </c>
      <c r="O16" s="64" t="s">
        <v>107</v>
      </c>
    </row>
    <row r="17" spans="1:15" x14ac:dyDescent="0.25">
      <c r="A17" s="1">
        <v>2025</v>
      </c>
      <c r="B17" s="1" t="s">
        <v>11</v>
      </c>
      <c r="C17" s="1" t="s">
        <v>86</v>
      </c>
      <c r="D17" s="3">
        <v>4954</v>
      </c>
      <c r="E17" s="1">
        <v>107</v>
      </c>
      <c r="F17" s="57">
        <f t="shared" si="1"/>
        <v>530078</v>
      </c>
      <c r="G17" s="56"/>
      <c r="H17" s="56"/>
      <c r="I17" s="56" t="str">
        <f t="shared" si="2"/>
        <v/>
      </c>
      <c r="J17" s="56">
        <v>280269.61</v>
      </c>
      <c r="L17" t="s">
        <v>14</v>
      </c>
      <c r="M17" s="3">
        <f>VLOOKUP(L17,$B$16:$E$27,3,FALSE)</f>
        <v>6464</v>
      </c>
      <c r="N17" s="62">
        <f>IF(L17="junio",AVERAGE($E$16:$E$21),AVERAGE($E$22:$E$27))</f>
        <v>127.41666666666667</v>
      </c>
      <c r="O17" s="63">
        <f>(M17*N17)/2</f>
        <v>411810.66666666669</v>
      </c>
    </row>
    <row r="18" spans="1:15" x14ac:dyDescent="0.25">
      <c r="A18" s="1">
        <v>2025</v>
      </c>
      <c r="B18" s="1" t="s">
        <v>12</v>
      </c>
      <c r="C18" s="1" t="s">
        <v>87</v>
      </c>
      <c r="D18" s="3">
        <v>5194</v>
      </c>
      <c r="E18" s="1">
        <v>148.5</v>
      </c>
      <c r="F18" s="57">
        <f t="shared" si="1"/>
        <v>771309</v>
      </c>
      <c r="G18" s="56"/>
      <c r="H18" s="56"/>
      <c r="I18" s="56" t="str">
        <f t="shared" si="2"/>
        <v/>
      </c>
      <c r="J18" s="56">
        <v>393600</v>
      </c>
      <c r="L18" t="s">
        <v>20</v>
      </c>
      <c r="M18" s="3">
        <f>VLOOKUP(L18,$B$16:$E$27,3,FALSE)</f>
        <v>7094</v>
      </c>
      <c r="N18" s="62">
        <f>IF(L18="junio",AVERAGE($E$16:$E$21),AVERAGE($E$22:$E$27))</f>
        <v>104.91666666666667</v>
      </c>
      <c r="O18" s="63">
        <f>(M18*N18)/2</f>
        <v>372139.41666666669</v>
      </c>
    </row>
    <row r="19" spans="1:15" x14ac:dyDescent="0.25">
      <c r="A19" s="1">
        <v>2025</v>
      </c>
      <c r="B19" s="1" t="s">
        <v>1</v>
      </c>
      <c r="C19" s="1" t="s">
        <v>87</v>
      </c>
      <c r="D19" s="3">
        <v>6189</v>
      </c>
      <c r="E19" s="1">
        <v>144</v>
      </c>
      <c r="F19" s="57">
        <f t="shared" si="1"/>
        <v>891216</v>
      </c>
      <c r="G19" s="56"/>
      <c r="H19" s="56"/>
      <c r="I19" s="56" t="str">
        <f t="shared" si="2"/>
        <v/>
      </c>
      <c r="J19" s="56">
        <v>360000</v>
      </c>
      <c r="N19" s="59"/>
      <c r="O19" s="63"/>
    </row>
    <row r="20" spans="1:15" x14ac:dyDescent="0.25">
      <c r="A20" s="1">
        <v>2025</v>
      </c>
      <c r="B20" s="1" t="s">
        <v>13</v>
      </c>
      <c r="C20" s="1" t="s">
        <v>87</v>
      </c>
      <c r="D20" s="3">
        <v>6362</v>
      </c>
      <c r="E20" s="1">
        <v>142.5</v>
      </c>
      <c r="F20" s="57">
        <f t="shared" si="1"/>
        <v>906585</v>
      </c>
      <c r="G20" s="56"/>
      <c r="H20" s="56"/>
      <c r="I20" s="56" t="str">
        <f t="shared" si="2"/>
        <v/>
      </c>
      <c r="J20" s="56">
        <v>360000</v>
      </c>
      <c r="N20" s="59"/>
      <c r="O20" s="63"/>
    </row>
    <row r="21" spans="1:15" x14ac:dyDescent="0.25">
      <c r="A21" s="1">
        <v>2025</v>
      </c>
      <c r="B21" s="1" t="s">
        <v>14</v>
      </c>
      <c r="C21" s="1" t="s">
        <v>87</v>
      </c>
      <c r="D21" s="3">
        <v>6464</v>
      </c>
      <c r="E21" s="1">
        <v>136.5</v>
      </c>
      <c r="F21" s="57">
        <f t="shared" si="1"/>
        <v>882336</v>
      </c>
      <c r="G21" s="56"/>
      <c r="H21" s="56"/>
      <c r="I21" s="56">
        <f t="shared" si="2"/>
        <v>-342336</v>
      </c>
      <c r="J21" s="56">
        <v>540000</v>
      </c>
    </row>
    <row r="22" spans="1:15" x14ac:dyDescent="0.25">
      <c r="A22" s="1">
        <v>2025</v>
      </c>
      <c r="B22" s="1" t="s">
        <v>15</v>
      </c>
      <c r="C22" s="1" t="s">
        <v>87</v>
      </c>
      <c r="D22" s="3">
        <v>6548</v>
      </c>
      <c r="E22" s="1">
        <v>133</v>
      </c>
      <c r="F22" s="57">
        <f t="shared" si="1"/>
        <v>870884</v>
      </c>
      <c r="G22" s="56"/>
      <c r="H22" s="56"/>
      <c r="I22" s="56" t="str">
        <f t="shared" si="2"/>
        <v/>
      </c>
      <c r="J22" s="56">
        <v>870857.4</v>
      </c>
    </row>
    <row r="23" spans="1:15" x14ac:dyDescent="0.25">
      <c r="A23" s="1">
        <v>2025</v>
      </c>
      <c r="B23" s="1" t="s">
        <v>16</v>
      </c>
      <c r="C23" s="1" t="s">
        <v>87</v>
      </c>
      <c r="D23" s="3">
        <v>6679</v>
      </c>
      <c r="E23" s="1">
        <v>19</v>
      </c>
      <c r="F23" s="57">
        <f t="shared" si="1"/>
        <v>126901</v>
      </c>
      <c r="G23" s="56"/>
      <c r="H23" s="56"/>
      <c r="I23" s="56" t="str">
        <f t="shared" si="2"/>
        <v/>
      </c>
      <c r="J23" s="56">
        <v>360000</v>
      </c>
    </row>
    <row r="24" spans="1:15" x14ac:dyDescent="0.25">
      <c r="A24" s="1">
        <v>2025</v>
      </c>
      <c r="B24" s="1" t="s">
        <v>17</v>
      </c>
      <c r="C24" s="1" t="s">
        <v>87</v>
      </c>
      <c r="D24" s="3">
        <v>6799</v>
      </c>
      <c r="E24" s="1">
        <v>119</v>
      </c>
      <c r="F24" s="57">
        <f t="shared" si="1"/>
        <v>809081</v>
      </c>
      <c r="G24" s="56"/>
      <c r="H24" s="56"/>
      <c r="I24" s="56" t="str">
        <f t="shared" si="2"/>
        <v/>
      </c>
      <c r="J24" s="56">
        <v>805563</v>
      </c>
      <c r="N24" s="59" t="s">
        <v>95</v>
      </c>
    </row>
    <row r="25" spans="1:15" x14ac:dyDescent="0.25">
      <c r="A25" s="1">
        <v>2025</v>
      </c>
      <c r="B25" s="1" t="s">
        <v>18</v>
      </c>
      <c r="C25" s="1" t="s">
        <v>87</v>
      </c>
      <c r="D25" s="3">
        <v>6799</v>
      </c>
      <c r="E25" s="1">
        <v>119.5</v>
      </c>
      <c r="F25" s="14">
        <f t="shared" si="1"/>
        <v>812480.5</v>
      </c>
      <c r="G25" s="56"/>
      <c r="H25" s="56"/>
      <c r="I25" s="56" t="str">
        <f t="shared" si="2"/>
        <v/>
      </c>
      <c r="J25" s="56">
        <v>865806</v>
      </c>
      <c r="N25" s="59" t="s">
        <v>96</v>
      </c>
    </row>
    <row r="26" spans="1:15" x14ac:dyDescent="0.25">
      <c r="A26" s="1">
        <v>2025</v>
      </c>
      <c r="B26" s="1" t="s">
        <v>19</v>
      </c>
      <c r="C26" s="1" t="s">
        <v>87</v>
      </c>
      <c r="D26" s="3">
        <v>7094</v>
      </c>
      <c r="E26" s="1">
        <v>103.5</v>
      </c>
      <c r="F26" s="14">
        <f t="shared" si="1"/>
        <v>734229</v>
      </c>
      <c r="G26" s="56"/>
      <c r="H26" s="56"/>
      <c r="I26" s="56" t="str">
        <f t="shared" si="2"/>
        <v/>
      </c>
      <c r="J26" s="56">
        <v>828356.56</v>
      </c>
      <c r="N26" s="59" t="s">
        <v>97</v>
      </c>
    </row>
    <row r="27" spans="1:15" ht="15.75" thickBot="1" x14ac:dyDescent="0.3">
      <c r="A27" s="1">
        <v>2025</v>
      </c>
      <c r="B27" s="1" t="s">
        <v>20</v>
      </c>
      <c r="C27" s="1" t="s">
        <v>87</v>
      </c>
      <c r="D27" s="3">
        <v>7094</v>
      </c>
      <c r="E27" s="1">
        <v>135.5</v>
      </c>
      <c r="F27" s="14">
        <f t="shared" si="1"/>
        <v>961237</v>
      </c>
      <c r="G27" s="18"/>
      <c r="H27" s="18"/>
      <c r="I27" s="56">
        <f t="shared" si="2"/>
        <v>91737</v>
      </c>
      <c r="J27" s="18">
        <v>1052974</v>
      </c>
    </row>
    <row r="28" spans="1:15" ht="15.75" thickBot="1" x14ac:dyDescent="0.3">
      <c r="A28" s="49" t="s">
        <v>82</v>
      </c>
      <c r="B28" s="49">
        <v>12</v>
      </c>
      <c r="C28" s="49"/>
      <c r="D28" s="51">
        <f>AVERAGE(D16:D27)</f>
        <v>6250.75</v>
      </c>
      <c r="E28" s="50">
        <f>SUM(E16:E27)</f>
        <v>1394</v>
      </c>
      <c r="F28" s="58">
        <f>SUM(F16:F27)</f>
        <v>8711974.5</v>
      </c>
      <c r="G28" s="58"/>
      <c r="H28" s="58"/>
      <c r="I28" s="58"/>
      <c r="J28" s="58">
        <f>SUM(J16:J27)</f>
        <v>6997696.1799999997</v>
      </c>
    </row>
    <row r="29" spans="1:15" x14ac:dyDescent="0.25">
      <c r="A29" s="52"/>
      <c r="B29" s="52"/>
      <c r="C29" s="52"/>
      <c r="D29" s="53"/>
      <c r="E29" s="54"/>
      <c r="F29" s="55"/>
      <c r="G29" s="55"/>
      <c r="H29" s="55"/>
      <c r="I29" s="55"/>
      <c r="J29" s="55"/>
    </row>
    <row r="30" spans="1:15" ht="15.75" thickBot="1" x14ac:dyDescent="0.3">
      <c r="A30" s="1">
        <v>2026</v>
      </c>
      <c r="B30" s="1" t="s">
        <v>10</v>
      </c>
      <c r="C30" s="1" t="s">
        <v>87</v>
      </c>
      <c r="D30" s="3">
        <v>7483</v>
      </c>
      <c r="E30" s="1">
        <v>145.5</v>
      </c>
      <c r="F30" s="14">
        <f t="shared" si="1"/>
        <v>1088776.5</v>
      </c>
      <c r="G30" s="18"/>
      <c r="H30" s="18"/>
      <c r="I30" s="56"/>
      <c r="J30" s="18">
        <v>1161211.6299999999</v>
      </c>
      <c r="L30" s="64" t="s">
        <v>105</v>
      </c>
      <c r="M30" s="64" t="s">
        <v>84</v>
      </c>
      <c r="N30" s="64" t="s">
        <v>106</v>
      </c>
      <c r="O30" s="64" t="s">
        <v>107</v>
      </c>
    </row>
    <row r="31" spans="1:15" x14ac:dyDescent="0.25">
      <c r="A31" s="1">
        <v>2026</v>
      </c>
      <c r="B31" s="1" t="s">
        <v>11</v>
      </c>
      <c r="C31" s="1" t="s">
        <v>87</v>
      </c>
      <c r="D31" s="3">
        <v>7483</v>
      </c>
      <c r="E31" s="1">
        <v>165</v>
      </c>
      <c r="F31" s="14">
        <f t="shared" si="1"/>
        <v>1234695</v>
      </c>
      <c r="G31" s="18"/>
      <c r="H31" s="18"/>
      <c r="I31" s="56" t="str">
        <f>IF(OR(B31="junio",B31="diciembre"),J31-F31,"")</f>
        <v/>
      </c>
      <c r="J31" s="18">
        <v>1341227.67</v>
      </c>
      <c r="L31" t="s">
        <v>14</v>
      </c>
      <c r="M31" s="3">
        <f>VLOOKUP(L31,$B$30:$E$41,3,FALSE)</f>
        <v>11316</v>
      </c>
      <c r="N31" s="62">
        <f>IF(L31="junio",AVERAGE(E30:E35),AVERAGE(E36:E41))</f>
        <v>158.83333333333334</v>
      </c>
      <c r="O31" s="63">
        <f>(M31*N31)/2</f>
        <v>898679</v>
      </c>
    </row>
    <row r="32" spans="1:15" x14ac:dyDescent="0.25">
      <c r="A32" s="1">
        <v>2026</v>
      </c>
      <c r="B32" s="1" t="s">
        <v>12</v>
      </c>
      <c r="C32" s="1" t="s">
        <v>87</v>
      </c>
      <c r="D32" s="3">
        <v>7931</v>
      </c>
      <c r="E32" s="1">
        <v>163</v>
      </c>
      <c r="F32" s="14">
        <f t="shared" si="1"/>
        <v>1292753</v>
      </c>
      <c r="G32" s="18"/>
      <c r="H32" s="18"/>
      <c r="I32" s="56" t="str">
        <f>IF(OR(B32="junio",B32="diciembre"),J32-F32,"")</f>
        <v/>
      </c>
      <c r="J32" s="18">
        <v>1557663.57</v>
      </c>
      <c r="L32" t="s">
        <v>20</v>
      </c>
      <c r="M32" s="3">
        <f>VLOOKUP(L32,$B$30:$E$42,3,FALSE)</f>
        <v>0</v>
      </c>
      <c r="N32" s="62">
        <f>IF(L32="diciembre",AVERAGE(E30:E35),AVERAGE(E36:E41))</f>
        <v>158.83333333333334</v>
      </c>
    </row>
    <row r="33" spans="1:11" x14ac:dyDescent="0.25">
      <c r="A33" s="1">
        <v>2026</v>
      </c>
      <c r="B33" s="1" t="s">
        <v>1</v>
      </c>
      <c r="C33" s="1" t="s">
        <v>88</v>
      </c>
      <c r="D33" s="3">
        <v>9421</v>
      </c>
      <c r="E33" s="1">
        <v>160</v>
      </c>
      <c r="F33" s="14">
        <f t="shared" si="1"/>
        <v>1507360</v>
      </c>
      <c r="G33" s="18"/>
      <c r="H33" s="18"/>
      <c r="I33" s="56" t="str">
        <f>IF(OR(B33="junio",B33="diciembre"),J33-F33,"")</f>
        <v/>
      </c>
      <c r="J33" s="18">
        <v>1578377.68</v>
      </c>
    </row>
    <row r="34" spans="1:11" x14ac:dyDescent="0.25">
      <c r="A34" s="1">
        <v>2026</v>
      </c>
      <c r="B34" s="1" t="s">
        <v>13</v>
      </c>
      <c r="C34" s="1" t="s">
        <v>88</v>
      </c>
      <c r="D34" s="3">
        <v>9647</v>
      </c>
      <c r="E34" s="1">
        <v>149</v>
      </c>
      <c r="F34" s="14">
        <f t="shared" si="1"/>
        <v>1437403</v>
      </c>
      <c r="G34" s="18"/>
      <c r="H34" s="18"/>
      <c r="I34" s="56" t="str">
        <f>IF(OR(B34="junio",B34="diciembre"),J34-F34,"")</f>
        <v/>
      </c>
      <c r="J34" s="18">
        <v>1508439.51</v>
      </c>
    </row>
    <row r="35" spans="1:11" x14ac:dyDescent="0.25">
      <c r="A35" s="1">
        <v>2026</v>
      </c>
      <c r="B35" s="1" t="s">
        <v>14</v>
      </c>
      <c r="C35" s="1" t="s">
        <v>89</v>
      </c>
      <c r="D35" s="3">
        <v>11316</v>
      </c>
      <c r="E35" s="1">
        <v>170.5</v>
      </c>
      <c r="F35" s="14">
        <f t="shared" si="1"/>
        <v>1929378</v>
      </c>
      <c r="G35" s="18">
        <v>42386.74</v>
      </c>
      <c r="H35" s="18">
        <v>30000</v>
      </c>
      <c r="I35" s="56">
        <f>IF(OR(B35="junio",B35="diciembre"),J35-SUM(F35:H35),"")</f>
        <v>898553.61999999988</v>
      </c>
      <c r="J35" s="18">
        <v>2900318.36</v>
      </c>
      <c r="K35" s="63"/>
    </row>
    <row r="36" spans="1:11" x14ac:dyDescent="0.25">
      <c r="A36" s="1">
        <v>2026</v>
      </c>
      <c r="B36" s="1" t="s">
        <v>15</v>
      </c>
      <c r="C36" s="1" t="s">
        <v>89</v>
      </c>
      <c r="D36" s="3">
        <v>11542.589</v>
      </c>
      <c r="E36" s="1">
        <v>173</v>
      </c>
      <c r="F36" s="14">
        <f t="shared" si="1"/>
        <v>1996867.8969999999</v>
      </c>
      <c r="G36" s="18">
        <v>56379.08</v>
      </c>
      <c r="H36" s="18">
        <v>30800</v>
      </c>
      <c r="I36" s="56" t="str">
        <f t="shared" ref="I36:I41" si="3">IF(OR(B36="junio",B36="diciembre"),J36-F36,"")</f>
        <v/>
      </c>
      <c r="J36" s="18">
        <f>SUM(F36:H36)</f>
        <v>2084046.977</v>
      </c>
    </row>
    <row r="37" spans="1:11" x14ac:dyDescent="0.25">
      <c r="A37" s="1">
        <v>2026</v>
      </c>
      <c r="B37" s="1" t="s">
        <v>16</v>
      </c>
      <c r="C37" s="1" t="s">
        <v>89</v>
      </c>
      <c r="D37" s="3">
        <v>11773</v>
      </c>
      <c r="E37" s="1">
        <v>170.5</v>
      </c>
      <c r="F37" s="14">
        <f t="shared" si="1"/>
        <v>2007296.5</v>
      </c>
      <c r="G37" s="18"/>
      <c r="H37" s="18"/>
      <c r="I37" s="56" t="str">
        <f t="shared" si="3"/>
        <v/>
      </c>
      <c r="J37" s="18"/>
    </row>
    <row r="38" spans="1:11" x14ac:dyDescent="0.25">
      <c r="A38" s="1">
        <v>2026</v>
      </c>
      <c r="B38" s="1" t="s">
        <v>17</v>
      </c>
      <c r="C38" s="1" t="s">
        <v>89</v>
      </c>
      <c r="D38" s="3"/>
      <c r="F38" s="14">
        <f t="shared" si="1"/>
        <v>0</v>
      </c>
      <c r="G38" s="18"/>
      <c r="H38" s="18"/>
      <c r="I38" s="56" t="str">
        <f t="shared" si="3"/>
        <v/>
      </c>
      <c r="J38" s="18"/>
    </row>
    <row r="39" spans="1:11" x14ac:dyDescent="0.25">
      <c r="A39" s="1">
        <v>2026</v>
      </c>
      <c r="B39" s="1" t="s">
        <v>18</v>
      </c>
      <c r="C39" s="1" t="s">
        <v>89</v>
      </c>
      <c r="D39" s="3"/>
      <c r="F39" s="14">
        <f t="shared" si="1"/>
        <v>0</v>
      </c>
      <c r="G39" s="18"/>
      <c r="H39" s="18"/>
      <c r="I39" s="56" t="str">
        <f t="shared" si="3"/>
        <v/>
      </c>
      <c r="J39" s="18"/>
    </row>
    <row r="40" spans="1:11" x14ac:dyDescent="0.25">
      <c r="A40" s="1">
        <v>2026</v>
      </c>
      <c r="B40" s="1" t="s">
        <v>19</v>
      </c>
      <c r="C40" s="1" t="s">
        <v>89</v>
      </c>
      <c r="D40" s="3"/>
      <c r="F40" s="14">
        <f t="shared" si="1"/>
        <v>0</v>
      </c>
      <c r="G40" s="18"/>
      <c r="H40" s="18"/>
      <c r="I40" s="56" t="str">
        <f t="shared" si="3"/>
        <v/>
      </c>
      <c r="J40" s="18"/>
    </row>
    <row r="41" spans="1:11" ht="15.75" thickBot="1" x14ac:dyDescent="0.3">
      <c r="A41" s="1">
        <v>2026</v>
      </c>
      <c r="B41" s="1" t="s">
        <v>20</v>
      </c>
      <c r="C41" s="1" t="s">
        <v>89</v>
      </c>
      <c r="D41" s="3"/>
      <c r="F41" s="14">
        <f t="shared" si="1"/>
        <v>0</v>
      </c>
      <c r="G41" s="18"/>
      <c r="H41" s="18"/>
      <c r="I41" s="56">
        <f t="shared" si="3"/>
        <v>0</v>
      </c>
      <c r="J41" s="18"/>
    </row>
    <row r="42" spans="1:11" ht="15.75" thickBot="1" x14ac:dyDescent="0.3">
      <c r="A42" s="49" t="s">
        <v>82</v>
      </c>
      <c r="B42" s="49">
        <v>12</v>
      </c>
      <c r="C42" s="49"/>
      <c r="D42" s="51">
        <f>AVERAGE(D30:D41)</f>
        <v>9574.5736250000009</v>
      </c>
      <c r="E42" s="50">
        <f>SUM(E30:E41)</f>
        <v>1296.5</v>
      </c>
      <c r="F42" s="58">
        <f>SUM(F30:F41)</f>
        <v>12494529.897</v>
      </c>
      <c r="G42" s="58"/>
      <c r="H42" s="58"/>
      <c r="I42" s="58"/>
      <c r="J42" s="58">
        <f>SUM(J30:J41)</f>
        <v>12131285.397</v>
      </c>
    </row>
    <row r="45" spans="1:11" x14ac:dyDescent="0.25">
      <c r="F45" s="63"/>
    </row>
    <row r="46" spans="1:11" x14ac:dyDescent="0.25">
      <c r="J46" s="132"/>
    </row>
  </sheetData>
  <phoneticPr fontId="1" type="noConversion"/>
  <conditionalFormatting sqref="G4:J13 G16:H27 J16:J27 G30:J41">
    <cfRule type="expression" dxfId="8" priority="12">
      <formula>$J4&gt;0</formula>
    </cfRule>
  </conditionalFormatting>
  <conditionalFormatting sqref="I16:I27">
    <cfRule type="expression" dxfId="7" priority="18">
      <formula>$J16&lt;&gt;""</formula>
    </cfRule>
  </conditionalFormatting>
  <dataValidations disablePrompts="1" count="1">
    <dataValidation type="list" allowBlank="1" showInputMessage="1" showErrorMessage="1" sqref="C4:C42" xr:uid="{874677B1-A8EB-40DB-BD22-0B7AB8308329}">
      <formula1>$N$1:$N$13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8218-6594-4685-801D-A7A339FBCDD3}">
  <sheetPr codeName="Hoja17">
    <tabColor theme="6"/>
  </sheetPr>
  <dimension ref="A1:P40"/>
  <sheetViews>
    <sheetView topLeftCell="A7" zoomScale="110" zoomScaleNormal="110" workbookViewId="0">
      <pane ySplit="4" topLeftCell="A11" activePane="bottomLeft" state="frozen"/>
      <selection activeCell="A7" sqref="A7"/>
      <selection pane="bottomLeft" activeCell="I45" sqref="I45"/>
    </sheetView>
  </sheetViews>
  <sheetFormatPr baseColWidth="10" defaultRowHeight="15" x14ac:dyDescent="0.25"/>
  <cols>
    <col min="3" max="3" width="15.5703125" bestFit="1" customWidth="1"/>
    <col min="4" max="4" width="19.42578125" bestFit="1" customWidth="1"/>
    <col min="5" max="5" width="15.5703125" bestFit="1" customWidth="1"/>
    <col min="6" max="6" width="4.42578125" customWidth="1"/>
    <col min="9" max="9" width="15.5703125" bestFit="1" customWidth="1"/>
    <col min="10" max="10" width="13.85546875" bestFit="1" customWidth="1"/>
    <col min="11" max="11" width="12" bestFit="1" customWidth="1"/>
    <col min="15" max="15" width="15.140625" bestFit="1" customWidth="1"/>
    <col min="16" max="16" width="13" bestFit="1" customWidth="1"/>
  </cols>
  <sheetData>
    <row r="1" spans="1:16" hidden="1" x14ac:dyDescent="0.25">
      <c r="A1" s="308" t="s">
        <v>189</v>
      </c>
      <c r="B1" s="308"/>
      <c r="C1" s="308"/>
      <c r="D1" s="308"/>
      <c r="E1" s="308"/>
    </row>
    <row r="2" spans="1:16" ht="15.75" hidden="1" thickBot="1" x14ac:dyDescent="0.3">
      <c r="A2" s="97" t="s">
        <v>78</v>
      </c>
      <c r="B2" s="97" t="s">
        <v>0</v>
      </c>
      <c r="C2" s="97" t="s">
        <v>194</v>
      </c>
      <c r="D2" s="97" t="s">
        <v>84</v>
      </c>
      <c r="E2" s="97" t="s">
        <v>79</v>
      </c>
    </row>
    <row r="3" spans="1:16" hidden="1" x14ac:dyDescent="0.25">
      <c r="A3" s="94">
        <v>2024</v>
      </c>
      <c r="B3" s="94" t="s">
        <v>193</v>
      </c>
      <c r="C3" s="94"/>
      <c r="D3" s="94"/>
      <c r="E3" s="95">
        <f>SUMIF('Ingresos - Q'!A:A,'Ingresos totales'!A3,'Ingresos - Q'!J:J)</f>
        <v>0</v>
      </c>
    </row>
    <row r="4" spans="1:16" hidden="1" x14ac:dyDescent="0.25">
      <c r="A4" s="94">
        <v>2025</v>
      </c>
      <c r="B4" s="94" t="s">
        <v>193</v>
      </c>
      <c r="C4" s="94"/>
      <c r="D4" s="94"/>
      <c r="E4" s="95">
        <f>SUMIF('Ingresos - Q'!A:A,'Ingresos totales'!A4,'Ingresos - Q'!J:J)</f>
        <v>6997696.1799999997</v>
      </c>
    </row>
    <row r="5" spans="1:16" hidden="1" x14ac:dyDescent="0.25">
      <c r="A5" s="94"/>
      <c r="B5" s="94"/>
      <c r="C5" s="94"/>
      <c r="D5" s="94"/>
      <c r="E5" s="95"/>
    </row>
    <row r="6" spans="1:16" ht="15.75" hidden="1" thickBot="1" x14ac:dyDescent="0.3">
      <c r="A6" s="94"/>
      <c r="B6" s="94"/>
      <c r="C6" s="94"/>
      <c r="D6" s="94"/>
      <c r="E6" s="95"/>
    </row>
    <row r="7" spans="1:16" ht="24" thickBot="1" x14ac:dyDescent="0.4">
      <c r="A7" s="309">
        <v>2026</v>
      </c>
      <c r="B7" s="309"/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</row>
    <row r="9" spans="1:16" x14ac:dyDescent="0.25">
      <c r="A9" s="308" t="s">
        <v>189</v>
      </c>
      <c r="B9" s="308"/>
      <c r="C9" s="308"/>
      <c r="D9" s="308"/>
      <c r="E9" s="308"/>
      <c r="G9" s="311" t="s">
        <v>190</v>
      </c>
      <c r="H9" s="311"/>
      <c r="I9" s="311"/>
      <c r="J9" s="311"/>
      <c r="K9" s="311"/>
      <c r="M9" s="312" t="s">
        <v>191</v>
      </c>
      <c r="N9" s="312"/>
      <c r="O9" s="312"/>
      <c r="P9" s="312"/>
    </row>
    <row r="10" spans="1:16" ht="15.75" thickBot="1" x14ac:dyDescent="0.3">
      <c r="A10" s="97" t="s">
        <v>78</v>
      </c>
      <c r="B10" s="97" t="s">
        <v>0</v>
      </c>
      <c r="C10" s="97" t="s">
        <v>194</v>
      </c>
      <c r="D10" s="97" t="s">
        <v>84</v>
      </c>
      <c r="E10" s="97" t="s">
        <v>79</v>
      </c>
      <c r="G10" s="96" t="s">
        <v>78</v>
      </c>
      <c r="H10" s="96" t="s">
        <v>0</v>
      </c>
      <c r="I10" s="96" t="s">
        <v>80</v>
      </c>
      <c r="J10" s="96" t="s">
        <v>81</v>
      </c>
      <c r="K10" s="96" t="s">
        <v>79</v>
      </c>
      <c r="M10" s="99" t="s">
        <v>78</v>
      </c>
      <c r="N10" s="99" t="s">
        <v>0</v>
      </c>
      <c r="O10" s="99" t="s">
        <v>123</v>
      </c>
      <c r="P10" s="99" t="s">
        <v>79</v>
      </c>
    </row>
    <row r="11" spans="1:16" x14ac:dyDescent="0.25">
      <c r="A11" s="13">
        <v>2026</v>
      </c>
      <c r="B11" s="13" t="s">
        <v>10</v>
      </c>
      <c r="C11" s="105">
        <f>VLOOKUP('Ingresos totales'!$B11,'Ingresos - Q'!$B$30:$J$41,4,FALSE)</f>
        <v>145.5</v>
      </c>
      <c r="D11" s="95">
        <f>VLOOKUP('Ingresos totales'!$B11,'Ingresos - Q'!$B$30:$J$41,3,FALSE)</f>
        <v>7483</v>
      </c>
      <c r="E11" s="95">
        <f>VLOOKUP('Ingresos totales'!$B11,'Ingresos - Q'!$B$30:$J$41,9,FALSE)</f>
        <v>1161211.6299999999</v>
      </c>
      <c r="G11" s="1">
        <v>2026</v>
      </c>
      <c r="H11" s="1" t="s">
        <v>10</v>
      </c>
      <c r="I11" s="1">
        <v>5</v>
      </c>
      <c r="J11" s="1">
        <v>0</v>
      </c>
      <c r="K11" s="14">
        <v>0</v>
      </c>
      <c r="M11" s="1">
        <v>2026</v>
      </c>
      <c r="N11" s="1" t="s">
        <v>10</v>
      </c>
      <c r="P11" s="14"/>
    </row>
    <row r="12" spans="1:16" x14ac:dyDescent="0.25">
      <c r="A12" s="13">
        <v>2026</v>
      </c>
      <c r="B12" s="13" t="s">
        <v>11</v>
      </c>
      <c r="C12" s="105">
        <f>VLOOKUP('Ingresos totales'!$B12,'Ingresos - Q'!$B$30:$J$41,4,FALSE)</f>
        <v>165</v>
      </c>
      <c r="D12" s="95">
        <f>VLOOKUP('Ingresos totales'!$B12,'Ingresos - Q'!$B$30:$J$41,3,FALSE)</f>
        <v>7483</v>
      </c>
      <c r="E12" s="95">
        <f>VLOOKUP('Ingresos totales'!$B12,'Ingresos - Q'!$B$30:$J$41,9,FALSE)</f>
        <v>1341227.67</v>
      </c>
      <c r="G12" s="1">
        <v>2026</v>
      </c>
      <c r="H12" s="1" t="s">
        <v>11</v>
      </c>
      <c r="I12" s="1">
        <v>4</v>
      </c>
      <c r="J12" s="1">
        <v>0</v>
      </c>
      <c r="K12" s="14">
        <v>0</v>
      </c>
      <c r="M12" s="1">
        <v>2026</v>
      </c>
      <c r="N12" s="1" t="s">
        <v>11</v>
      </c>
      <c r="P12" s="14"/>
    </row>
    <row r="13" spans="1:16" x14ac:dyDescent="0.25">
      <c r="A13" s="13">
        <v>2026</v>
      </c>
      <c r="B13" s="13" t="s">
        <v>12</v>
      </c>
      <c r="C13" s="105">
        <f>VLOOKUP('Ingresos totales'!$B13,'Ingresos - Q'!$B$30:$J$41,4,FALSE)</f>
        <v>163</v>
      </c>
      <c r="D13" s="95">
        <f>VLOOKUP('Ingresos totales'!$B13,'Ingresos - Q'!$B$30:$J$41,3,FALSE)</f>
        <v>7931</v>
      </c>
      <c r="E13" s="95">
        <f>VLOOKUP('Ingresos totales'!$B13,'Ingresos - Q'!$B$30:$J$41,9,FALSE)</f>
        <v>1557663.57</v>
      </c>
      <c r="G13" s="1">
        <v>2026</v>
      </c>
      <c r="H13" s="1" t="s">
        <v>12</v>
      </c>
      <c r="I13" s="1">
        <f>COUNTA(Marzo!$B$1:$AF$1)</f>
        <v>4</v>
      </c>
      <c r="J13" s="1">
        <f>IF(I13=4,COUNTA(Marzo!$B$4:$AA$30),COUNTA(Marzo!$B$4:$AG$30))</f>
        <v>9</v>
      </c>
      <c r="K13" s="24">
        <f>IF(I13=4,IF(AND(Marzo!$C$35="Si",Marzo!$C$36="Si",Marzo!$C$37="Si",Marzo!$C$38="Si"),Marzo!$B$41,""),IF(AND(Marzo!$C$35="Si",Marzo!$C$36="Si",Marzo!$C$37="Si",Marzo!$C$38="Si",Marzo!$C$39="Si"),Marzo!$B$41,""))</f>
        <v>90500</v>
      </c>
      <c r="M13" s="1">
        <v>2026</v>
      </c>
      <c r="N13" s="1" t="s">
        <v>12</v>
      </c>
      <c r="P13" s="14"/>
    </row>
    <row r="14" spans="1:16" x14ac:dyDescent="0.25">
      <c r="A14" s="13">
        <v>2026</v>
      </c>
      <c r="B14" s="13" t="s">
        <v>1</v>
      </c>
      <c r="C14" s="105">
        <f>VLOOKUP('Ingresos totales'!$B14,'Ingresos - Q'!$B$30:$J$41,4,FALSE)</f>
        <v>160</v>
      </c>
      <c r="D14" s="95">
        <f>VLOOKUP('Ingresos totales'!$B14,'Ingresos - Q'!$B$30:$J$41,3,FALSE)</f>
        <v>9421</v>
      </c>
      <c r="E14" s="95">
        <f>VLOOKUP('Ingresos totales'!$B14,'Ingresos - Q'!$B$30:$J$41,9,FALSE)</f>
        <v>1578377.68</v>
      </c>
      <c r="G14" s="1">
        <v>2026</v>
      </c>
      <c r="H14" s="1" t="s">
        <v>1</v>
      </c>
      <c r="I14" s="1">
        <f>COUNTA(Abril!$B$1:$AF$1)</f>
        <v>5</v>
      </c>
      <c r="J14" s="1">
        <f>IF(I14=4,COUNTA(Abril!$B$4:$AA$30),COUNTA(Abril!$B$4:$AG$30))</f>
        <v>21</v>
      </c>
      <c r="K14" s="2">
        <f>IF(I14=4,IF(AND(Abril!$C$35="Si",Abril!$C$36="Si",Abril!$C$37="Si",Abril!$C$38="Si"),Abril!$B$41,""),IF(AND(Abril!$C$35="Si",Abril!$C$36="Si",Abril!$C$37="Si",Abril!$C$38="Si",Abril!$C$39="Si"),Abril!$B$41,""))</f>
        <v>216500</v>
      </c>
      <c r="M14" s="1">
        <v>2026</v>
      </c>
      <c r="N14" s="1" t="s">
        <v>1</v>
      </c>
      <c r="P14" s="14"/>
    </row>
    <row r="15" spans="1:16" x14ac:dyDescent="0.25">
      <c r="A15" s="13">
        <v>2026</v>
      </c>
      <c r="B15" s="13" t="s">
        <v>13</v>
      </c>
      <c r="C15" s="105">
        <f>VLOOKUP('Ingresos totales'!$B15,'Ingresos - Q'!$B$30:$J$41,4,FALSE)</f>
        <v>149</v>
      </c>
      <c r="D15" s="95">
        <f>VLOOKUP('Ingresos totales'!$B15,'Ingresos - Q'!$B$30:$J$41,3,FALSE)</f>
        <v>9647</v>
      </c>
      <c r="E15" s="95">
        <f>VLOOKUP('Ingresos totales'!$B15,'Ingresos - Q'!$B$30:$J$41,9,FALSE)</f>
        <v>1508439.51</v>
      </c>
      <c r="G15" s="1">
        <v>2026</v>
      </c>
      <c r="H15" s="1" t="s">
        <v>13</v>
      </c>
      <c r="I15" s="1">
        <f>COUNTA(Mayo!$B$1:$AF$1)</f>
        <v>4</v>
      </c>
      <c r="J15" s="1">
        <f>IF(I15=4,COUNTA(Mayo!$B$4:$AA$30),COUNTA(Mayo!$B$4:$AG$30))</f>
        <v>12</v>
      </c>
      <c r="K15" s="2">
        <f>IF(I15=4,IF(AND(Mayo!$C$35="Si",Mayo!$C$36="Si",Mayo!$C$37="Si",Mayo!$C$38="Si"),Mayo!$B$41,""),IF(AND(Mayo!$C$35="Si",Mayo!$C$36="Si",Mayo!$C$37="Si",Mayo!$C$38="Si",Mayo!$C$39="Si"),Mayo!$B$41,""))</f>
        <v>129000</v>
      </c>
      <c r="M15" s="1">
        <v>2026</v>
      </c>
      <c r="N15" s="1" t="s">
        <v>13</v>
      </c>
      <c r="P15" s="14"/>
    </row>
    <row r="16" spans="1:16" x14ac:dyDescent="0.25">
      <c r="A16" s="13">
        <v>2026</v>
      </c>
      <c r="B16" s="13" t="s">
        <v>14</v>
      </c>
      <c r="C16" s="105">
        <f>VLOOKUP('Ingresos totales'!$B16,'Ingresos - Q'!$B$30:$J$41,4,FALSE)</f>
        <v>170.5</v>
      </c>
      <c r="D16" s="95">
        <f>VLOOKUP('Ingresos totales'!$B16,'Ingresos - Q'!$B$30:$J$41,3,FALSE)</f>
        <v>11316</v>
      </c>
      <c r="E16" s="95">
        <f>VLOOKUP('Ingresos totales'!$B16,'Ingresos - Q'!$B$30:$J$41,9,FALSE)</f>
        <v>2900318.36</v>
      </c>
      <c r="G16" s="1">
        <v>2026</v>
      </c>
      <c r="H16" s="1" t="s">
        <v>14</v>
      </c>
      <c r="I16" s="1">
        <f>COUNTA(Junio!$B$1:$AF$1)</f>
        <v>4</v>
      </c>
      <c r="J16" s="1">
        <f>IF(I16=4,COUNTA(Junio!$B$4:$AA$30),COUNTA(Junio!$B$4:$AG$30))</f>
        <v>21</v>
      </c>
      <c r="K16" s="2">
        <f>IF(I16=4,IF(AND(Junio!$C$35="Si",Junio!$C$36="Si",Junio!$C$37="Si",Junio!$C$38="Si"),Junio!$B$41,""),IF(AND(Junio!$C$35="Si",Junio!$C$36="Si",Junio!$C$37="Si",Junio!$C$38="Si",Junio!$C$39="Si"),Junio!$B$41,""))</f>
        <v>466500</v>
      </c>
      <c r="M16" s="1">
        <v>2026</v>
      </c>
      <c r="N16" s="1" t="s">
        <v>14</v>
      </c>
      <c r="O16" t="s">
        <v>192</v>
      </c>
      <c r="P16" s="14">
        <v>400000</v>
      </c>
    </row>
    <row r="17" spans="1:16" x14ac:dyDescent="0.25">
      <c r="A17" s="13">
        <v>2026</v>
      </c>
      <c r="B17" s="13" t="s">
        <v>15</v>
      </c>
      <c r="C17" s="105">
        <f>VLOOKUP('Ingresos totales'!$B17,'Ingresos - Q'!$B$30:$J$41,4,FALSE)</f>
        <v>173</v>
      </c>
      <c r="D17" s="95">
        <f>VLOOKUP('Ingresos totales'!$B17,'Ingresos - Q'!$B$30:$J$41,3,FALSE)</f>
        <v>11542.589</v>
      </c>
      <c r="E17" s="95">
        <f>VLOOKUP('Ingresos totales'!$B17,'Ingresos - Q'!$B$30:$J$41,9,FALSE)</f>
        <v>2084046.977</v>
      </c>
      <c r="G17" s="1">
        <v>2026</v>
      </c>
      <c r="H17" s="1" t="s">
        <v>15</v>
      </c>
      <c r="I17" s="1">
        <f>COUNTA(Julio!$B$1:$AF$1)</f>
        <v>5</v>
      </c>
      <c r="J17" s="1">
        <f>IF(I17=4,COUNTA(Julio!$B$4:$AB$30),COUNTA(Julio!$B$4:$AH$30))</f>
        <v>22</v>
      </c>
      <c r="K17" s="2">
        <f>IF(I17=4,IF(AND(Julio!$C$35="Si",Julio!$C$36="Si",Julio!$C$37="Si",Julio!$C$38="Si"),Julio!$B$41,""),IF(AND(Julio!$C$35="Si",Julio!$C$36="Si",Julio!$C$37="Si",Julio!$C$38="Si",Julio!$C$39="Si"),Julio!$B$41,""))</f>
        <v>372500</v>
      </c>
      <c r="M17" s="1">
        <v>2026</v>
      </c>
      <c r="N17" s="1" t="s">
        <v>15</v>
      </c>
      <c r="P17" s="14"/>
    </row>
    <row r="18" spans="1:16" x14ac:dyDescent="0.25">
      <c r="A18" s="13">
        <v>2026</v>
      </c>
      <c r="B18" s="13" t="s">
        <v>16</v>
      </c>
      <c r="C18" s="105">
        <f>VLOOKUP('Ingresos totales'!$B18,'Ingresos - Q'!$B$30:$J$41,4,FALSE)</f>
        <v>170.5</v>
      </c>
      <c r="D18" s="95">
        <f>VLOOKUP('Ingresos totales'!$B18,'Ingresos - Q'!$B$30:$J$41,3,FALSE)</f>
        <v>11773</v>
      </c>
      <c r="E18" s="95">
        <f>VLOOKUP('Ingresos totales'!$B18,'Ingresos - Q'!$B$30:$J$41,9,FALSE)</f>
        <v>0</v>
      </c>
      <c r="G18" s="1">
        <v>2026</v>
      </c>
      <c r="H18" s="1" t="s">
        <v>16</v>
      </c>
      <c r="I18" s="1">
        <f>COUNTA(Agosto!$B$1:$AD$1)</f>
        <v>4</v>
      </c>
      <c r="J18" s="1">
        <f>IF(I18=4,COUNTA(Agosto!$B$4:$AB$30),COUNTA(Agosto!$B$4:$AD$30))</f>
        <v>18</v>
      </c>
      <c r="K18" s="2">
        <f>IF(I18=4,IF(AND(Agosto!$C$35="Si",Agosto!$C$36="Si",Agosto!$C$37="Si",Agosto!$C$38="Si"),Agosto!$B$41,""),IF(AND(Agosto!$C$35="Si",Agosto!$C$36="Si",Agosto!$C$37="Si",Agosto!$C$38="Si",Agosto!$C$39="Si"),Agosto!$B$41,""))</f>
        <v>354000</v>
      </c>
      <c r="M18" s="1">
        <v>2026</v>
      </c>
      <c r="N18" s="1" t="s">
        <v>16</v>
      </c>
      <c r="P18" s="14"/>
    </row>
    <row r="19" spans="1:16" x14ac:dyDescent="0.25">
      <c r="A19" s="13">
        <v>2026</v>
      </c>
      <c r="B19" s="13" t="s">
        <v>17</v>
      </c>
      <c r="C19" s="105">
        <f>VLOOKUP('Ingresos totales'!$B19,'Ingresos - Q'!$B$30:$J$41,4,FALSE)</f>
        <v>0</v>
      </c>
      <c r="D19" s="95">
        <f>VLOOKUP('Ingresos totales'!$B19,'Ingresos - Q'!$B$30:$J$41,3,FALSE)</f>
        <v>0</v>
      </c>
      <c r="E19" s="95">
        <f>VLOOKUP('Ingresos totales'!$B19,'Ingresos - Q'!$B$30:$J$41,9,FALSE)</f>
        <v>0</v>
      </c>
      <c r="G19" s="1">
        <v>2026</v>
      </c>
      <c r="H19" s="1" t="s">
        <v>17</v>
      </c>
      <c r="I19" s="1">
        <f>COUNTA(Septiembre!$B$1:$AD$1)</f>
        <v>4</v>
      </c>
      <c r="J19" s="1">
        <f>IF(I19=4,COUNTA(Septiembre!$B$4:$AB$30),COUNTA(Septiembre!$B$4:$AD$30))</f>
        <v>10</v>
      </c>
      <c r="K19" s="2" t="str">
        <f>IF(I19=4,IF(AND(Septiembre!$C$35="Si",Septiembre!$C$36="Si",Septiembre!$C$37="Si",Septiembre!$C$38="Si"),Septiembre!$B$41,""),IF(AND(Septiembre!$C$35="Si",Septiembre!$C$36="Si",Septiembre!$C$37="Si",Septiembre!$C$38="Si",Septiembre!$C$39="Si"),Septiembre!$B$41,""))</f>
        <v/>
      </c>
      <c r="M19" s="1">
        <v>2026</v>
      </c>
      <c r="N19" s="1" t="s">
        <v>17</v>
      </c>
      <c r="P19" s="14"/>
    </row>
    <row r="20" spans="1:16" x14ac:dyDescent="0.25">
      <c r="A20" s="13">
        <v>2026</v>
      </c>
      <c r="B20" s="13" t="s">
        <v>18</v>
      </c>
      <c r="C20" s="105">
        <f>VLOOKUP('Ingresos totales'!$B20,'Ingresos - Q'!$B$30:$J$41,4,FALSE)</f>
        <v>0</v>
      </c>
      <c r="D20" s="95">
        <f>VLOOKUP('Ingresos totales'!$B20,'Ingresos - Q'!$B$30:$J$41,3,FALSE)</f>
        <v>0</v>
      </c>
      <c r="E20" s="95">
        <f>VLOOKUP('Ingresos totales'!$B20,'Ingresos - Q'!$B$30:$J$41,9,FALSE)</f>
        <v>0</v>
      </c>
      <c r="G20" s="1">
        <v>2026</v>
      </c>
      <c r="H20" s="1" t="s">
        <v>18</v>
      </c>
      <c r="I20" s="1">
        <f>COUNTA(Octubre!$B$1:$AF$1)</f>
        <v>5</v>
      </c>
      <c r="J20" s="1">
        <f>IF(I20=4,COUNTA(Octubre!$B$4:$AB$30),COUNTA(Octubre!$B$4:$AH$30))</f>
        <v>0</v>
      </c>
      <c r="K20" s="2" t="str">
        <f>IF(I20=4,IF(AND(Octubre!$C$35="Si",Octubre!$C$36="Si",Octubre!$C$37="Si",Octubre!$C$38="Si"),Octubre!$B$41,""),IF(AND(Octubre!$C$35="Si",Octubre!$C$36="Si",Octubre!$C$37="Si",Octubre!$C$38="Si",Octubre!$C$39="Si"),Octubre!$B$41,""))</f>
        <v/>
      </c>
      <c r="M20" s="1">
        <v>2026</v>
      </c>
      <c r="N20" s="1" t="s">
        <v>18</v>
      </c>
      <c r="P20" s="14"/>
    </row>
    <row r="21" spans="1:16" x14ac:dyDescent="0.25">
      <c r="A21" s="13">
        <v>2026</v>
      </c>
      <c r="B21" s="13" t="s">
        <v>19</v>
      </c>
      <c r="C21" s="105">
        <f>VLOOKUP('Ingresos totales'!$B21,'Ingresos - Q'!$B$30:$J$41,4,FALSE)</f>
        <v>0</v>
      </c>
      <c r="D21" s="95">
        <f>VLOOKUP('Ingresos totales'!$B21,'Ingresos - Q'!$B$30:$J$41,3,FALSE)</f>
        <v>0</v>
      </c>
      <c r="E21" s="95">
        <f>VLOOKUP('Ingresos totales'!$B21,'Ingresos - Q'!$B$30:$J$41,9,FALSE)</f>
        <v>0</v>
      </c>
      <c r="G21" s="1">
        <v>2026</v>
      </c>
      <c r="H21" s="1" t="s">
        <v>19</v>
      </c>
      <c r="I21" s="1">
        <f>COUNTA(Noviembre!$B$1:$AD$1)</f>
        <v>4</v>
      </c>
      <c r="J21" s="1">
        <f>IF(I21=4,COUNTA(Noviembre!$B$4:$AB$30),COUNTA(Noviembre!$B$4:$AD$30))</f>
        <v>0</v>
      </c>
      <c r="K21" s="2" t="str">
        <f>IF(I21=4,IF(AND(Noviembre!$C$35="Si",Noviembre!$C$36="Si",Noviembre!$C$37="Si",Noviembre!$C$38="Si"),Noviembre!$B$41,""),IF(AND(Noviembre!$C$35="Si",Noviembre!$C$36="Si",Noviembre!$C$37="Si",Noviembre!$C$38="Si",Noviembre!$C$39="Si"),Noviembre!$B$41,""))</f>
        <v/>
      </c>
      <c r="M21" s="1">
        <v>2026</v>
      </c>
      <c r="N21" s="1" t="s">
        <v>19</v>
      </c>
      <c r="P21" s="14"/>
    </row>
    <row r="22" spans="1:16" ht="15.75" thickBot="1" x14ac:dyDescent="0.3">
      <c r="A22" s="13">
        <v>2026</v>
      </c>
      <c r="B22" s="13" t="s">
        <v>20</v>
      </c>
      <c r="C22" s="105">
        <f>VLOOKUP('Ingresos totales'!$B22,'Ingresos - Q'!$B$30:$J$41,4,FALSE)</f>
        <v>0</v>
      </c>
      <c r="D22" s="95">
        <f>VLOOKUP('Ingresos totales'!$B22,'Ingresos - Q'!$B$30:$J$41,3,FALSE)</f>
        <v>0</v>
      </c>
      <c r="E22" s="95">
        <f>VLOOKUP('Ingresos totales'!$B22,'Ingresos - Q'!$B$30:$J$41,9,FALSE)</f>
        <v>0</v>
      </c>
      <c r="G22" s="1">
        <v>2026</v>
      </c>
      <c r="H22" s="1" t="s">
        <v>20</v>
      </c>
      <c r="I22" s="1">
        <f>COUNTA(Diciembre!$B$1:$AF$1)</f>
        <v>5</v>
      </c>
      <c r="J22" s="1">
        <f>IF(I22=4,COUNTA(Diciembre!$B$4:$AB$30),COUNTA(Diciembre!$B$4:$AH$30))</f>
        <v>0</v>
      </c>
      <c r="K22" s="2" t="str">
        <f>IF(I22=4,IF(AND(Diciembre!$C$35="Si",Diciembre!$C$36="Si",Diciembre!$C$37="Si",Diciembre!$C$38="Si"),Diciembre!$B$41,""),IF(AND(Diciembre!$C$35="Si",Diciembre!$C$36="Si",Diciembre!$C$37="Si",Diciembre!$C$38="Si",Diciembre!$C$39="Si"),Diciembre!$B$41,""))</f>
        <v/>
      </c>
      <c r="M22" s="1">
        <v>2026</v>
      </c>
      <c r="N22" s="1" t="s">
        <v>20</v>
      </c>
      <c r="P22" s="14"/>
    </row>
    <row r="23" spans="1:16" ht="15.75" thickBot="1" x14ac:dyDescent="0.3">
      <c r="A23" s="106" t="s">
        <v>82</v>
      </c>
      <c r="B23" s="106">
        <v>10</v>
      </c>
      <c r="C23" s="106">
        <f>SUM(C11:C22)</f>
        <v>1296.5</v>
      </c>
      <c r="D23" s="107">
        <f>SUM(D11:D22)</f>
        <v>76596.589000000007</v>
      </c>
      <c r="E23" s="107">
        <f>SUM(E13:E22)</f>
        <v>9628846.0969999991</v>
      </c>
      <c r="G23" s="98" t="s">
        <v>82</v>
      </c>
      <c r="H23" s="98">
        <v>10</v>
      </c>
      <c r="I23" s="98">
        <f>SUM(I11:I22)</f>
        <v>53</v>
      </c>
      <c r="J23" s="98">
        <f>SUM(J11:J22)</f>
        <v>113</v>
      </c>
      <c r="K23" s="103">
        <f>SUM(K13:K22)</f>
        <v>1629000</v>
      </c>
      <c r="M23" s="100" t="s">
        <v>82</v>
      </c>
      <c r="N23" s="100">
        <v>10</v>
      </c>
      <c r="O23" s="101"/>
      <c r="P23" s="102">
        <f>SUM(P11:P22)</f>
        <v>400000</v>
      </c>
    </row>
    <row r="26" spans="1:16" x14ac:dyDescent="0.25">
      <c r="A26" s="310" t="s">
        <v>173</v>
      </c>
      <c r="B26" s="310"/>
      <c r="C26" s="310"/>
      <c r="D26" s="310"/>
      <c r="E26" s="310"/>
      <c r="F26" s="111"/>
    </row>
    <row r="27" spans="1:16" ht="15.75" thickBot="1" x14ac:dyDescent="0.3">
      <c r="A27" s="104" t="s">
        <v>0</v>
      </c>
      <c r="B27" s="104" t="s">
        <v>189</v>
      </c>
      <c r="C27" s="104" t="s">
        <v>190</v>
      </c>
      <c r="D27" s="104" t="s">
        <v>191</v>
      </c>
      <c r="E27" s="104" t="s">
        <v>82</v>
      </c>
    </row>
    <row r="28" spans="1:16" x14ac:dyDescent="0.25">
      <c r="A28" s="1" t="s">
        <v>10</v>
      </c>
      <c r="B28" s="77">
        <f t="shared" ref="B28:B39" si="0">IFERROR(IFERROR(VLOOKUP($A28,$B$3:$E$22,4,FALSE),"")/E28,"")</f>
        <v>1</v>
      </c>
      <c r="C28" s="77">
        <f t="shared" ref="C28:C39" si="1">IFERROR(IFERROR(VLOOKUP($A28,$H$11:$K$22,4,FALSE),"")/E28,"")</f>
        <v>0</v>
      </c>
      <c r="D28" s="77">
        <f t="shared" ref="D28:D39" si="2">IFERROR(IFERROR(VLOOKUP($A28,$N$11:$P$22,3,FALSE),"")/E28,"")</f>
        <v>0</v>
      </c>
      <c r="E28" s="63">
        <f t="shared" ref="E28:E39" si="3">IFERROR(IFERROR(VLOOKUP($A28,$B$3:$E$22,4,FALSE),0)+IFERROR(VLOOKUP($A28,$H$11:$K$22,4,FALSE),0)+IFERROR(VLOOKUP($A28,$N$11:$P$22,3,FALSE),0),"")</f>
        <v>1161211.6299999999</v>
      </c>
    </row>
    <row r="29" spans="1:16" x14ac:dyDescent="0.25">
      <c r="A29" s="1" t="s">
        <v>11</v>
      </c>
      <c r="B29" s="77">
        <f t="shared" si="0"/>
        <v>1</v>
      </c>
      <c r="C29" s="77">
        <f t="shared" si="1"/>
        <v>0</v>
      </c>
      <c r="D29" s="77">
        <f t="shared" si="2"/>
        <v>0</v>
      </c>
      <c r="E29" s="63">
        <f t="shared" si="3"/>
        <v>1341227.67</v>
      </c>
    </row>
    <row r="30" spans="1:16" x14ac:dyDescent="0.25">
      <c r="A30" s="1" t="s">
        <v>12</v>
      </c>
      <c r="B30" s="77">
        <f t="shared" si="0"/>
        <v>0.94509040143388201</v>
      </c>
      <c r="C30" s="77">
        <f t="shared" si="1"/>
        <v>5.4909598566118045E-2</v>
      </c>
      <c r="D30" s="77">
        <f t="shared" si="2"/>
        <v>0</v>
      </c>
      <c r="E30" s="63">
        <f t="shared" si="3"/>
        <v>1648163.57</v>
      </c>
    </row>
    <row r="31" spans="1:16" x14ac:dyDescent="0.25">
      <c r="A31" s="1" t="s">
        <v>1</v>
      </c>
      <c r="B31" s="77">
        <f t="shared" si="0"/>
        <v>0.87937896692770734</v>
      </c>
      <c r="C31" s="77">
        <f t="shared" si="1"/>
        <v>0.1206210330722927</v>
      </c>
      <c r="D31" s="77">
        <f t="shared" si="2"/>
        <v>0</v>
      </c>
      <c r="E31" s="63">
        <f t="shared" si="3"/>
        <v>1794877.68</v>
      </c>
    </row>
    <row r="32" spans="1:16" x14ac:dyDescent="0.25">
      <c r="A32" s="1" t="s">
        <v>13</v>
      </c>
      <c r="B32" s="77">
        <f t="shared" si="0"/>
        <v>0.9212184638197719</v>
      </c>
      <c r="C32" s="77">
        <f t="shared" si="1"/>
        <v>7.8781536180228123E-2</v>
      </c>
      <c r="D32" s="77">
        <f t="shared" si="2"/>
        <v>0</v>
      </c>
      <c r="E32" s="63">
        <f t="shared" si="3"/>
        <v>1637439.51</v>
      </c>
    </row>
    <row r="33" spans="1:5" x14ac:dyDescent="0.25">
      <c r="A33" s="1" t="s">
        <v>14</v>
      </c>
      <c r="B33" s="77">
        <f t="shared" si="0"/>
        <v>0.7699650163115378</v>
      </c>
      <c r="C33" s="77">
        <f t="shared" si="1"/>
        <v>0.12384456998345947</v>
      </c>
      <c r="D33" s="77">
        <f t="shared" si="2"/>
        <v>0.10619041370500276</v>
      </c>
      <c r="E33" s="63">
        <f t="shared" si="3"/>
        <v>3766818.36</v>
      </c>
    </row>
    <row r="34" spans="1:5" x14ac:dyDescent="0.25">
      <c r="A34" s="1" t="s">
        <v>15</v>
      </c>
      <c r="B34" s="77">
        <f t="shared" si="0"/>
        <v>0.84836438973582873</v>
      </c>
      <c r="C34" s="77">
        <f t="shared" si="1"/>
        <v>0.15163561026417122</v>
      </c>
      <c r="D34" s="77">
        <f>IFERROR(IFERROR(VLOOKUP($A34,$N$11:$P$22,3,FALSE),"")/E34,"")</f>
        <v>0</v>
      </c>
      <c r="E34" s="63">
        <f t="shared" si="3"/>
        <v>2456546.977</v>
      </c>
    </row>
    <row r="35" spans="1:5" x14ac:dyDescent="0.25">
      <c r="A35" s="1" t="s">
        <v>16</v>
      </c>
      <c r="B35" s="77">
        <f t="shared" si="0"/>
        <v>0</v>
      </c>
      <c r="C35" s="77">
        <f t="shared" si="1"/>
        <v>1</v>
      </c>
      <c r="D35" s="77">
        <f t="shared" si="2"/>
        <v>0</v>
      </c>
      <c r="E35" s="63">
        <f t="shared" si="3"/>
        <v>354000</v>
      </c>
    </row>
    <row r="36" spans="1:5" x14ac:dyDescent="0.25">
      <c r="A36" s="1" t="s">
        <v>17</v>
      </c>
      <c r="B36" s="77" t="str">
        <f t="shared" si="0"/>
        <v/>
      </c>
      <c r="C36" s="77" t="str">
        <f t="shared" si="1"/>
        <v/>
      </c>
      <c r="D36" s="77" t="str">
        <f t="shared" si="2"/>
        <v/>
      </c>
      <c r="E36" s="63" t="str">
        <f t="shared" si="3"/>
        <v/>
      </c>
    </row>
    <row r="37" spans="1:5" x14ac:dyDescent="0.25">
      <c r="A37" s="1" t="s">
        <v>18</v>
      </c>
      <c r="B37" s="77" t="str">
        <f t="shared" si="0"/>
        <v/>
      </c>
      <c r="C37" s="77" t="str">
        <f t="shared" si="1"/>
        <v/>
      </c>
      <c r="D37" s="77" t="str">
        <f t="shared" si="2"/>
        <v/>
      </c>
      <c r="E37" s="63" t="str">
        <f t="shared" si="3"/>
        <v/>
      </c>
    </row>
    <row r="38" spans="1:5" x14ac:dyDescent="0.25">
      <c r="A38" s="1" t="s">
        <v>19</v>
      </c>
      <c r="B38" s="77" t="str">
        <f t="shared" si="0"/>
        <v/>
      </c>
      <c r="C38" s="77" t="str">
        <f t="shared" si="1"/>
        <v/>
      </c>
      <c r="D38" s="77" t="str">
        <f t="shared" si="2"/>
        <v/>
      </c>
      <c r="E38" s="63" t="str">
        <f t="shared" si="3"/>
        <v/>
      </c>
    </row>
    <row r="39" spans="1:5" ht="15.75" thickBot="1" x14ac:dyDescent="0.3">
      <c r="A39" s="1" t="s">
        <v>20</v>
      </c>
      <c r="B39" s="77" t="str">
        <f t="shared" si="0"/>
        <v/>
      </c>
      <c r="C39" s="77" t="str">
        <f t="shared" si="1"/>
        <v/>
      </c>
      <c r="D39" s="77" t="str">
        <f t="shared" si="2"/>
        <v/>
      </c>
      <c r="E39" s="63" t="str">
        <f t="shared" si="3"/>
        <v/>
      </c>
    </row>
    <row r="40" spans="1:5" ht="15.75" thickBot="1" x14ac:dyDescent="0.3">
      <c r="A40" s="108"/>
      <c r="B40" s="110">
        <f>AVERAGEIF(B28:B39,"&lt;&gt;",B28:B39)</f>
        <v>0.79550215477859099</v>
      </c>
      <c r="C40" s="110">
        <f t="shared" ref="C40:D40" si="4">AVERAGEIF(C28:C39,"&lt;&gt;",C28:C39)</f>
        <v>0.1912240435082837</v>
      </c>
      <c r="D40" s="110">
        <f t="shared" si="4"/>
        <v>1.3273801713125345E-2</v>
      </c>
      <c r="E40" s="109">
        <f t="shared" ref="E40" si="5">SUM(E28:E39)</f>
        <v>14160285.397</v>
      </c>
    </row>
  </sheetData>
  <mergeCells count="6">
    <mergeCell ref="A1:E1"/>
    <mergeCell ref="A7:P7"/>
    <mergeCell ref="A26:E26"/>
    <mergeCell ref="A9:E9"/>
    <mergeCell ref="G9:K9"/>
    <mergeCell ref="M9:P9"/>
  </mergeCells>
  <conditionalFormatting sqref="E3:E6 E11:E22">
    <cfRule type="cellIs" dxfId="6" priority="3" operator="greaterThan">
      <formula>0</formula>
    </cfRule>
  </conditionalFormatting>
  <conditionalFormatting sqref="E28:E39">
    <cfRule type="containsBlanks" dxfId="5" priority="1">
      <formula>LEN(TRIM(E28))=0</formula>
    </cfRule>
  </conditionalFormatting>
  <conditionalFormatting sqref="E28:E40">
    <cfRule type="cellIs" dxfId="4" priority="2" operator="greaterThan">
      <formula>0</formula>
    </cfRule>
  </conditionalFormatting>
  <conditionalFormatting sqref="K13:K22">
    <cfRule type="expression" dxfId="3" priority="5">
      <formula>$H13&gt;0</formula>
    </cfRule>
  </conditionalFormatting>
  <conditionalFormatting sqref="P11:P22">
    <cfRule type="cellIs" dxfId="2" priority="4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Datos - Gastos</vt:lpstr>
      <vt:lpstr>Gastos julio</vt:lpstr>
      <vt:lpstr>Gastos agosto</vt:lpstr>
      <vt:lpstr>Gastos septiembre</vt:lpstr>
      <vt:lpstr>Gastos octubre</vt:lpstr>
      <vt:lpstr>Gastos noviembre</vt:lpstr>
      <vt:lpstr>Gastos diciembre</vt:lpstr>
      <vt:lpstr>Gastos 2026</vt:lpstr>
      <vt:lpstr>Dashboard financiero</vt:lpstr>
      <vt:lpstr>Análisis semanal julio</vt:lpstr>
      <vt:lpstr>Análisis semanal agosto</vt:lpstr>
      <vt:lpstr>Datos - Axis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Ingresos - Q</vt:lpstr>
      <vt:lpstr>Ingresos totales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Victoria Duarte</dc:creator>
  <cp:lastModifiedBy>María Victoria  Duarte</cp:lastModifiedBy>
  <dcterms:created xsi:type="dcterms:W3CDTF">2015-06-05T18:19:34Z</dcterms:created>
  <dcterms:modified xsi:type="dcterms:W3CDTF">2026-09-21T00:04:53Z</dcterms:modified>
</cp:coreProperties>
</file>